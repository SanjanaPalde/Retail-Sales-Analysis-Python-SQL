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90b3aa48473ba7/Desktop/Final_Project/python/"/>
    </mc:Choice>
  </mc:AlternateContent>
  <xr:revisionPtr revIDLastSave="0" documentId="8_{36DC65A1-61DF-4223-931D-2F821ABB6B60}" xr6:coauthVersionLast="47" xr6:coauthVersionMax="47" xr10:uidLastSave="{00000000-0000-0000-0000-000000000000}"/>
  <bookViews>
    <workbookView xWindow="8076" yWindow="0" windowWidth="14172" windowHeight="12240" tabRatio="879" xr2:uid="{00000000-000D-0000-FFFF-FFFF00000000}"/>
  </bookViews>
  <sheets>
    <sheet name="Clean_Data (2)" sheetId="9" r:id="rId1"/>
    <sheet name="Clean_Data" sheetId="1" r:id="rId2"/>
    <sheet name="Category_Analysis" sheetId="2" r:id="rId3"/>
    <sheet name="Revenue_by_city" sheetId="3" r:id="rId4"/>
    <sheet name="Best_Selling_Products" sheetId="4" r:id="rId5"/>
    <sheet name="Monthly_Revenue" sheetId="5" r:id="rId6"/>
    <sheet name="Payment_Method_Analysis" sheetId="6" r:id="rId7"/>
    <sheet name="Top_Customers" sheetId="7" r:id="rId8"/>
    <sheet name="Dashboard" sheetId="8" r:id="rId9"/>
  </sheets>
  <definedNames>
    <definedName name="_xlnm._FilterDatabase" localSheetId="1" hidden="1">Clean_Data!$Q$1:$Q$301</definedName>
    <definedName name="_xlnm._FilterDatabase" localSheetId="0" hidden="1">'Clean_Data (2)'!$L$1:$L$301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</calcChain>
</file>

<file path=xl/sharedStrings.xml><?xml version="1.0" encoding="utf-8"?>
<sst xmlns="http://schemas.openxmlformats.org/spreadsheetml/2006/main" count="5212" uniqueCount="432">
  <si>
    <t>Order_ID</t>
  </si>
  <si>
    <t>Order_Date</t>
  </si>
  <si>
    <t>Customer_ID</t>
  </si>
  <si>
    <t>Customer_Name</t>
  </si>
  <si>
    <t>Product_Name</t>
  </si>
  <si>
    <t>Category</t>
  </si>
  <si>
    <t>Quantity</t>
  </si>
  <si>
    <t>Unit_Price</t>
  </si>
  <si>
    <t>Total_Amount</t>
  </si>
  <si>
    <t>City</t>
  </si>
  <si>
    <t>Payment_Method</t>
  </si>
  <si>
    <t>Order_Status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</si>
  <si>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</si>
  <si>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</si>
  <si>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</si>
  <si>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</si>
  <si>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</si>
  <si>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</si>
  <si>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</si>
  <si>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</si>
  <si>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</si>
  <si>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</si>
  <si>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</si>
  <si>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</si>
  <si>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</si>
  <si>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</si>
  <si>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</si>
  <si>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</si>
  <si>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</si>
  <si>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</si>
  <si>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</si>
  <si>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</si>
  <si>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</si>
  <si>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</si>
  <si>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</si>
  <si>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</si>
  <si>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</si>
  <si>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</si>
  <si>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</si>
  <si>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</si>
  <si>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</si>
  <si>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</si>
  <si>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</si>
  <si>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</si>
  <si>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</si>
  <si>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</si>
  <si>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</si>
  <si>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</si>
  <si>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</si>
  <si>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</si>
  <si>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</si>
  <si>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</si>
  <si>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</si>
  <si>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</si>
  <si>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</si>
  <si>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</si>
  <si>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</si>
  <si>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</si>
  <si>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</si>
  <si>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</si>
  <si>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</si>
  <si>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</si>
  <si>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</si>
  <si>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</si>
  <si>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</si>
  <si>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</si>
  <si>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</si>
  <si>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</si>
  <si>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</si>
  <si>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</si>
  <si>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</si>
  <si>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</si>
  <si>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</si>
  <si>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</si>
  <si>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</si>
  <si>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</si>
  <si>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</si>
  <si>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</si>
  <si>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</si>
  <si>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</si>
  <si>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</si>
  <si>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</si>
  <si>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</si>
  <si>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</si>
  <si>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</si>
  <si>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</si>
  <si>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</si>
  <si>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</si>
  <si>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</si>
  <si>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</si>
  <si>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</si>
  <si>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</si>
  <si>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</si>
  <si>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</si>
  <si>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</si>
  <si>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</si>
  <si>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</si>
  <si>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</si>
  <si>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</si>
  <si>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</si>
  <si>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</si>
  <si>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</si>
  <si>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</si>
  <si>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</si>
  <si>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</si>
  <si>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</si>
  <si>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</si>
  <si>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</si>
  <si>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</si>
  <si>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</si>
  <si>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</si>
  <si>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</si>
  <si>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</si>
  <si>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</si>
  <si>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</si>
  <si>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</si>
  <si>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</si>
  <si>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</si>
  <si>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</si>
  <si>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</si>
  <si>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</si>
  <si>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</si>
  <si>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</si>
  <si>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</si>
  <si>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</si>
  <si>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</si>
  <si>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</si>
  <si>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</si>
  <si>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</si>
  <si>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</si>
  <si>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</si>
  <si>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</si>
  <si>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</si>
  <si>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</si>
  <si>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</si>
  <si>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</si>
  <si>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</si>
  <si>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</si>
  <si>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</si>
  <si>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</si>
  <si>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</si>
  <si>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</si>
  <si>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</si>
  <si>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</si>
  <si>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</si>
  <si>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</si>
  <si>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</si>
  <si>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</si>
  <si>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</si>
  <si>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</si>
  <si>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</si>
  <si>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</si>
  <si>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</si>
  <si>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</si>
  <si>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</si>
  <si>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</si>
  <si>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</si>
  <si>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</si>
  <si>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</si>
  <si>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</si>
  <si>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</si>
  <si>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</si>
  <si>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</si>
  <si>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</si>
  <si>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</si>
  <si>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</si>
  <si>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</si>
  <si>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</si>
  <si>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</si>
  <si>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</si>
  <si>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</si>
  <si>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</si>
  <si>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</si>
  <si>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</si>
  <si>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</si>
  <si>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</si>
  <si>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</si>
  <si>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</si>
  <si>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</si>
  <si>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</si>
  <si>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</si>
  <si>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</si>
  <si>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</si>
  <si>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</si>
  <si>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</si>
  <si>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</si>
  <si>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</si>
  <si>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</si>
  <si>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</si>
  <si>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</si>
  <si>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</si>
  <si>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</si>
  <si>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</si>
  <si>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</si>
  <si>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</si>
  <si>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</si>
  <si>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</si>
  <si>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</si>
  <si>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</si>
  <si>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</si>
  <si>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</si>
  <si>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</si>
  <si>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</si>
  <si>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</si>
  <si>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</si>
  <si>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</si>
  <si>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</si>
  <si>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</si>
  <si>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</si>
  <si>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</si>
  <si>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</si>
  <si>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</si>
  <si>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</si>
  <si>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</si>
  <si>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</si>
  <si>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</si>
  <si>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</si>
  <si>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</si>
  <si>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</si>
  <si>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</si>
  <si>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</si>
  <si>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</si>
  <si>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</si>
  <si>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</si>
  <si>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</si>
  <si>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</si>
  <si>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</si>
  <si>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</si>
  <si>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</si>
  <si>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</si>
  <si>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</si>
  <si>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</si>
  <si>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</si>
  <si>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</si>
  <si>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</si>
  <si>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</si>
  <si>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</si>
  <si>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</si>
  <si>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</si>
  <si>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</si>
  <si>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</si>
  <si>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</si>
  <si>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</si>
  <si>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</si>
  <si>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</si>
  <si>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</si>
  <si>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</si>
  <si>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</si>
  <si>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</si>
  <si>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</si>
  <si>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</si>
  <si>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</si>
  <si>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</si>
  <si>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</si>
  <si>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</si>
  <si>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</si>
  <si>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</si>
  <si>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</si>
  <si>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</si>
  <si>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</si>
  <si>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</si>
  <si>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</si>
  <si>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</si>
  <si>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</si>
  <si>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</si>
  <si>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</si>
  <si>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</si>
  <si>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</si>
  <si>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</si>
  <si>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</si>
  <si>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</si>
  <si>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</si>
  <si>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</si>
  <si>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</si>
  <si>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</si>
  <si>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</si>
  <si>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</si>
  <si>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</si>
  <si>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</si>
  <si>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</si>
  <si>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</si>
  <si>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</si>
  <si>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</si>
  <si>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</si>
  <si>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</si>
  <si>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</si>
  <si>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</si>
  <si>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</si>
  <si>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</si>
  <si>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</si>
  <si>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</si>
  <si>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</si>
  <si>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</si>
  <si>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</si>
  <si>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</si>
  <si>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</si>
  <si>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</si>
  <si>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</si>
  <si>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</si>
  <si>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</si>
  <si>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</si>
  <si>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</si>
  <si>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</si>
  <si>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</si>
  <si>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</si>
  <si>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</si>
  <si>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</si>
  <si>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</si>
  <si>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</si>
  <si>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</si>
  <si>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</si>
  <si>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</si>
  <si>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CUST108</t>
  </si>
  <si>
    <t>CUST102</t>
  </si>
  <si>
    <t>CUST118</t>
  </si>
  <si>
    <t>CUST114</t>
  </si>
  <si>
    <t>CUST104</t>
  </si>
  <si>
    <t>CUST119</t>
  </si>
  <si>
    <t>CUST107</t>
  </si>
  <si>
    <t>CUST115</t>
  </si>
  <si>
    <t>CUST105</t>
  </si>
  <si>
    <t>CUST101</t>
  </si>
  <si>
    <t>CUST109</t>
  </si>
  <si>
    <t>CUST120</t>
  </si>
  <si>
    <t>CUST111</t>
  </si>
  <si>
    <t>CUST116</t>
  </si>
  <si>
    <t>CUST117</t>
  </si>
  <si>
    <t>CUST112</t>
  </si>
  <si>
    <t>CUST106</t>
  </si>
  <si>
    <t>CUST113</t>
  </si>
  <si>
    <t>CUST110</t>
  </si>
  <si>
    <t>CUST103</t>
  </si>
  <si>
    <t>Neha Pawar</t>
  </si>
  <si>
    <t>Aarav Sharma</t>
  </si>
  <si>
    <t>Riya Desai</t>
  </si>
  <si>
    <t>Karan Mehta</t>
  </si>
  <si>
    <t>Isha Gupta</t>
  </si>
  <si>
    <t>Siddharth Patil</t>
  </si>
  <si>
    <t>Aditya More</t>
  </si>
  <si>
    <t xml:space="preserve">  Sneha Kulkarni  </t>
  </si>
  <si>
    <t>Rahul Jadhav</t>
  </si>
  <si>
    <t>Kavya Joshi</t>
  </si>
  <si>
    <t>Nikhil Pawar</t>
  </si>
  <si>
    <t>Tanvi Shah</t>
  </si>
  <si>
    <t>Sneha Kulkarni</t>
  </si>
  <si>
    <t>Mansi Kulkarni</t>
  </si>
  <si>
    <t>Rohan Deshmukh</t>
  </si>
  <si>
    <t>Omkar More</t>
  </si>
  <si>
    <t>Ananya Patil</t>
  </si>
  <si>
    <t>Pooja Chavan</t>
  </si>
  <si>
    <t>Priya Shah</t>
  </si>
  <si>
    <t>Vivek Joshi</t>
  </si>
  <si>
    <t>Akash Shinde</t>
  </si>
  <si>
    <t>KAVYA JOSHI</t>
  </si>
  <si>
    <t>Backpack</t>
  </si>
  <si>
    <t>Water Bottle</t>
  </si>
  <si>
    <t>Notebook</t>
  </si>
  <si>
    <t>Mouse</t>
  </si>
  <si>
    <t>Shoes</t>
  </si>
  <si>
    <t>T-Shirt</t>
  </si>
  <si>
    <t>Keyboard</t>
  </si>
  <si>
    <t>Headphones</t>
  </si>
  <si>
    <t>Jeans</t>
  </si>
  <si>
    <t>Pen Set</t>
  </si>
  <si>
    <t>Office Chair</t>
  </si>
  <si>
    <t>Smartphone</t>
  </si>
  <si>
    <t>Desk</t>
  </si>
  <si>
    <t>Laptop</t>
  </si>
  <si>
    <t>Bookshelf</t>
  </si>
  <si>
    <t>Accessories</t>
  </si>
  <si>
    <t>Stationery</t>
  </si>
  <si>
    <t>Electronics</t>
  </si>
  <si>
    <t>Fashion</t>
  </si>
  <si>
    <t>Furniture</t>
  </si>
  <si>
    <t>Nashik</t>
  </si>
  <si>
    <t>Pune</t>
  </si>
  <si>
    <t>Nagpur</t>
  </si>
  <si>
    <t>Aurangabad</t>
  </si>
  <si>
    <t>Thane</t>
  </si>
  <si>
    <t>Navi Mumbai</t>
  </si>
  <si>
    <t>Mumbai</t>
  </si>
  <si>
    <t>Kolhapur</t>
  </si>
  <si>
    <t>mumbai</t>
  </si>
  <si>
    <t>UPI</t>
  </si>
  <si>
    <t>Credit Card</t>
  </si>
  <si>
    <t>Cash</t>
  </si>
  <si>
    <t>Net Banking</t>
  </si>
  <si>
    <t>Debit Card</t>
  </si>
  <si>
    <t xml:space="preserve">UPI </t>
  </si>
  <si>
    <t>Returned</t>
  </si>
  <si>
    <t>Completed</t>
  </si>
  <si>
    <t>Cancelled</t>
  </si>
  <si>
    <t>Clean_Customer_Name</t>
  </si>
  <si>
    <t>Clean_City</t>
  </si>
  <si>
    <t>Clean_Payment_Method</t>
  </si>
  <si>
    <t>Calculated_AMT_Checking</t>
  </si>
  <si>
    <t>Row Labels</t>
  </si>
  <si>
    <t>Grand Total</t>
  </si>
  <si>
    <t>Sum of Total_Amount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</si>
  <si>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</si>
  <si>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</si>
  <si>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</si>
  <si>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</si>
  <si>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</si>
  <si>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</si>
  <si>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</si>
  <si>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</si>
  <si>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</si>
  <si>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</si>
  <si>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CustomerCheck</t>
  </si>
  <si>
    <t>Correct_cust_id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</si>
  <si>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</si>
  <si>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</si>
  <si>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</si>
  <si>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</si>
  <si>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</si>
  <si>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</si>
  <si>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</si>
  <si>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</si>
  <si>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</si>
  <si>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CUST013</t>
  </si>
  <si>
    <t>CUST014</t>
  </si>
  <si>
    <t>CUST015</t>
  </si>
  <si>
    <t>CUST016</t>
  </si>
  <si>
    <t>CUST019</t>
  </si>
  <si>
    <t>CUST020</t>
  </si>
  <si>
    <t>CUST026</t>
  </si>
  <si>
    <t>CUST028</t>
  </si>
  <si>
    <t>CUST032</t>
  </si>
  <si>
    <t>CUST034</t>
  </si>
  <si>
    <t>CUST041</t>
  </si>
  <si>
    <t>CUST063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</si>
</sst>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[Retail_Sales_Analysis_Dataset2.xlsx]Category_Analysis!PivotTable1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3">
                    <a:lumMod val="50000"/>
                  </a:schemeClr>
                </a:solidFill>
              </a:rPr>
              <a:t>Revenue by Category</a:t>
            </a:r>
            <a:endParaRPr lang="en-US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Stationery</c:v>
                </c:pt>
              </c:strCache>
            </c:strRef>
          </c:cat>
          <c:val>
            <c:numRef>
              <c:f>Category_Analysis!$B$4:$B$9</c:f>
              <c:numCache>
                <c:formatCode>General</c:formatCode>
                <c:ptCount val="5"/>
                <c:pt idx="0">
                  <c:v>164566.40000000002</c:v>
                </c:pt>
                <c:pt idx="1">
                  <c:v>3894988.5100000002</c:v>
                </c:pt>
                <c:pt idx="2">
                  <c:v>445775.63000000012</c:v>
                </c:pt>
                <c:pt idx="3">
                  <c:v>1110170.8600000001</c:v>
                </c:pt>
                <c:pt idx="4">
                  <c:v>22135.649999999994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9-4BD7-A935-B04FD6BDA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99632"/>
        <c:axId val="766284944"/>
      </c:barChart>
      <c:catAx>
        <c:axId val="8589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284944"/>
        <c:crosses val="autoZero"/>
        <c:auto val="1"/>
        <c:lblAlgn val="ctr"/>
        <c:lblOffset val="100"/>
        <c:noMultiLvlLbl val="0"/>
      </c:catAx>
      <c:valAx>
        <c:axId val="76628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[Retail_Sales_Analysis_Dataset2.xlsx]Revenue_by_city!PivotTable2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3">
                    <a:lumMod val="50000"/>
                  </a:schemeClr>
                </a:solidFill>
              </a:rPr>
              <a:t>Revenue by City</a:t>
            </a:r>
            <a:endParaRPr lang="en-IN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Revenue_by_city!$B$3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Revenue_by_city!$A$4:$A$12</c:f>
              <c:strCache>
                <c:ptCount val="8"/>
                <c:pt idx="0">
                  <c:v>Aurangabad</c:v>
                </c:pt>
                <c:pt idx="1">
                  <c:v>Kolhapur</c:v>
                </c:pt>
                <c:pt idx="2">
                  <c:v>Mumbai</c:v>
                </c:pt>
                <c:pt idx="3">
                  <c:v>Nagpur</c:v>
                </c:pt>
                <c:pt idx="4">
                  <c:v>Nashik</c:v>
                </c:pt>
                <c:pt idx="5">
                  <c:v>Navi Mumbai</c:v>
                </c:pt>
                <c:pt idx="6">
                  <c:v>Pune</c:v>
                </c:pt>
                <c:pt idx="7">
                  <c:v>Thane</c:v>
                </c:pt>
              </c:strCache>
            </c:strRef>
          </c:cat>
          <c:val>
            <c:numRef>
              <c:f>Revenue_by_city!$B$4:$B$12</c:f>
              <c:numCache>
                <c:formatCode>General</c:formatCode>
                <c:ptCount val="8"/>
                <c:pt idx="0">
                  <c:v>588679.41</c:v>
                </c:pt>
                <c:pt idx="1">
                  <c:v>516340.27000000008</c:v>
                </c:pt>
                <c:pt idx="2">
                  <c:v>510450.25999999995</c:v>
                </c:pt>
                <c:pt idx="3">
                  <c:v>701476.17999999982</c:v>
                </c:pt>
                <c:pt idx="4">
                  <c:v>830626.71000000008</c:v>
                </c:pt>
                <c:pt idx="5">
                  <c:v>1533119.8099999998</c:v>
                </c:pt>
                <c:pt idx="6">
                  <c:v>451182.86000000004</c:v>
                </c:pt>
                <c:pt idx="7">
                  <c:v>505761.54999999987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D-407C-8E55-79729A0C9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983840"/>
        <c:axId val="766268144"/>
      </c:barChart>
      <c:catAx>
        <c:axId val="84398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268144"/>
        <c:crosses val="autoZero"/>
        <c:auto val="1"/>
        <c:lblAlgn val="ctr"/>
        <c:lblOffset val="100"/>
        <c:noMultiLvlLbl val="0"/>
      </c:catAx>
      <c:valAx>
        <c:axId val="76626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9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[Retail_Sales_Analysis_Dataset2.xlsx]Monthly_Revenue!PivotTable4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3">
                    <a:lumMod val="50000"/>
                  </a:schemeClr>
                </a:solidFill>
              </a:rPr>
              <a:t>Monthly Revenue Trend</a:t>
            </a:r>
            <a:endParaRPr lang="en-IN" b="1">
              <a:solidFill>
                <a:schemeClr val="accent3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Monthly_Revenue!$B$4:$B$13</c:f>
              <c:numCache>
                <c:formatCode>General</c:formatCode>
                <c:ptCount val="9"/>
                <c:pt idx="0">
                  <c:v>660719.85</c:v>
                </c:pt>
                <c:pt idx="1">
                  <c:v>724618.62</c:v>
                </c:pt>
                <c:pt idx="2">
                  <c:v>437890.63999999996</c:v>
                </c:pt>
                <c:pt idx="3">
                  <c:v>600750.46000000008</c:v>
                </c:pt>
                <c:pt idx="4">
                  <c:v>770744.18999999983</c:v>
                </c:pt>
                <c:pt idx="5">
                  <c:v>660226.98999999987</c:v>
                </c:pt>
                <c:pt idx="6">
                  <c:v>530143.4800000001</c:v>
                </c:pt>
                <c:pt idx="7">
                  <c:v>1116840.8899999997</c:v>
                </c:pt>
                <c:pt idx="8">
                  <c:v>135701.93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A-4277-98B1-57A7262F3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909760"/>
        <c:axId val="854497040"/>
      </c:lineChart>
      <c:catAx>
        <c:axId val="8469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97040"/>
        <c:crosses val="autoZero"/>
        <c:auto val="1"/>
        <c:lblAlgn val="ctr"/>
        <c:lblOffset val="100"/>
        <c:noMultiLvlLbl val="0"/>
      </c:catAx>
      <c:valAx>
        <c:axId val="85449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563886</xdr:colOff>
      <xdr:row>0</xdr:row>
      <xdr:rowOff>160020</xdr:rowOff>
    </xdr:from>
    <xdr:to>
      <xdr:col>7</xdr:col>
      <xdr:colOff>586740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54FE2-906F-DA70-6EAC-2BF959F02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594360</xdr:colOff>
      <xdr:row>0</xdr:row>
      <xdr:rowOff>179070</xdr:rowOff>
    </xdr:from>
    <xdr:to>
      <xdr:col>15</xdr:col>
      <xdr:colOff>594360</xdr:colOff>
      <xdr:row>13</xdr:row>
      <xdr:rowOff>30480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CCADCA7-26CA-7C2B-1196-237F2B998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601980</xdr:colOff>
      <xdr:row>14</xdr:row>
      <xdr:rowOff>0</xdr:rowOff>
    </xdr:from>
    <xdr:to>
      <xdr:col>13</xdr:col>
      <xdr:colOff>594360</xdr:colOff>
      <xdr:row>25</xdr:row>
      <xdr:rowOff>99060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1F33BFC-81B6-CC17-CA48-82A3580F0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67.687935069443" createdVersion="8" refreshedVersion="8" minRefreshableVersion="3" recordCount="300" xr:uid="{20891D68-554A-4023-87A8-0FBD3F7D8DAE}">
  <cacheSource type="worksheet">
    <worksheetSource ref="A1:Q301" sheet="Clean_Data"/>
  </cacheSource>
  <cacheFields count="18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9-02T00:00:00" count="167">
        <d v="2026-03-12T00:00:00"/>
        <d v="2026-04-19T00:00:00"/>
        <d v="2026-02-20T00:00:00"/>
        <d v="2026-02-10T00:00:00"/>
        <d v="2026-04-08T00:00:00"/>
        <d v="2026-05-18T00:00:00"/>
        <d v="2026-04-03T00:00:00"/>
        <d v="2026-08-07T00:00:00"/>
        <d v="2026-04-01T00:00:00"/>
        <d v="2026-02-11T00:00:00"/>
        <d v="2026-07-18T00:00:00"/>
        <d v="2026-08-30T00:00:00"/>
        <d v="2026-02-05T00:00:00"/>
        <d v="2026-02-26T00:00:00"/>
        <d v="2026-05-22T00:00:00"/>
        <d v="2026-01-01T00:00:00"/>
        <d v="2026-05-10T00:00:00"/>
        <d v="2026-06-03T00:00:00"/>
        <d v="2026-03-03T00:00:00"/>
        <d v="2026-02-02T00:00:00"/>
        <d v="2026-02-24T00:00:00"/>
        <d v="2026-05-13T00:00:00"/>
        <d v="2026-02-28T00:00:00"/>
        <d v="2026-08-20T00:00:00"/>
        <d v="2026-02-03T00:00:00"/>
        <d v="2026-01-25T00:00:00"/>
        <d v="2026-06-15T00:00:00"/>
        <d v="2026-04-25T00:00:00"/>
        <d v="2026-08-09T00:00:00"/>
        <d v="2026-05-05T00:00:00"/>
        <d v="2026-03-09T00:00:00"/>
        <d v="2026-03-17T00:00:00"/>
        <d v="2026-08-24T00:00:00"/>
        <d v="2026-01-18T00:00:00"/>
        <d v="2026-01-21T00:00:00"/>
        <d v="2026-04-12T00:00:00"/>
        <d v="2026-05-25T00:00:00"/>
        <d v="2026-08-14T00:00:00"/>
        <d v="2026-06-06T00:00:00"/>
        <d v="2026-07-10T00:00:00"/>
        <d v="2026-06-12T00:00:00"/>
        <d v="2026-01-12T00:00:00"/>
        <d v="2026-04-20T00:00:00"/>
        <d v="2026-08-02T00:00:00"/>
        <d v="2026-08-27T00:00:00"/>
        <d v="2026-08-15T00:00:00"/>
        <d v="2026-01-07T00:00:00"/>
        <d v="2026-01-10T00:00:00"/>
        <d v="2026-06-18T00:00:00"/>
        <d v="2026-05-11T00:00:00"/>
        <d v="2026-08-25T00:00:00"/>
        <d v="2026-06-19T00:00:00"/>
        <d v="2026-02-19T00:00:00"/>
        <d v="2026-04-24T00:00:00"/>
        <d v="2026-02-07T00:00:00"/>
        <d v="2026-01-02T00:00:00"/>
        <d v="2026-03-05T00:00:00"/>
        <d v="2026-09-01T00:00:00"/>
        <d v="2026-05-02T00:00:00"/>
        <d v="2026-01-20T00:00:00"/>
        <d v="2026-02-08T00:00:00"/>
        <d v="2026-04-30T00:00:00"/>
        <d v="2026-01-06T00:00:00"/>
        <d v="2026-04-10T00:00:00"/>
        <d v="2026-04-11T00:00:00"/>
        <d v="2026-02-16T00:00:00"/>
        <d v="2026-01-14T00:00:00"/>
        <d v="2026-06-09T00:00:00"/>
        <d v="2026-07-03T00:00:00"/>
        <d v="2026-08-01T00:00:00"/>
        <d v="2026-03-04T00:00:00"/>
        <d v="2026-03-28T00:00:00"/>
        <d v="2026-03-29T00:00:00"/>
        <d v="2026-07-04T00:00:00"/>
        <d v="2026-01-05T00:00:00"/>
        <d v="2026-04-05T00:00:00"/>
        <d v="2026-04-27T00:00:00"/>
        <d v="2026-07-14T00:00:00"/>
        <d v="2026-03-19T00:00:00"/>
        <d v="2026-01-19T00:00:00"/>
        <d v="2026-01-31T00:00:00"/>
        <d v="2026-05-31T00:00:00"/>
        <d v="2026-04-26T00:00:00"/>
        <d v="2026-05-20T00:00:00"/>
        <d v="2026-06-02T00:00:00"/>
        <d v="2026-07-08T00:00:00"/>
        <d v="2026-06-21T00:00:00"/>
        <d v="2026-04-13T00:00:00"/>
        <d v="2026-07-17T00:00:00"/>
        <d v="2026-03-15T00:00:00"/>
        <d v="2026-03-21T00:00:00"/>
        <d v="2026-05-01T00:00:00"/>
        <d v="2026-03-01T00:00:00"/>
        <d v="2026-08-12T00:00:00"/>
        <d v="2026-02-09T00:00:00"/>
        <d v="2026-01-26T00:00:00"/>
        <d v="2026-07-22T00:00:00"/>
        <d v="2026-06-20T00:00:00"/>
        <d v="2026-01-28T00:00:00"/>
        <d v="2026-06-23T00:00:00"/>
        <d v="2026-08-13T00:00:00"/>
        <d v="2026-07-05T00:00:00"/>
        <d v="2026-06-08T00:00:00"/>
        <d v="2026-03-02T00:00:00"/>
        <d v="2026-08-10T00:00:00"/>
        <d v="2026-07-19T00:00:00"/>
        <d v="2026-07-20T00:00:00"/>
        <d v="2026-06-04T00:00:00"/>
        <d v="2026-08-16T00:00:00"/>
        <d v="2026-03-22T00:00:00"/>
        <d v="2026-04-16T00:00:00"/>
        <d v="2026-07-15T00:00:00"/>
        <d v="2026-06-14T00:00:00"/>
        <d v="2026-03-31T00:00:00"/>
        <d v="2026-07-13T00:00:00"/>
        <d v="2026-08-31T00:00:00"/>
        <d v="2026-04-21T00:00:00"/>
        <d v="2026-04-14T00:00:00"/>
        <d v="2026-08-05T00:00:00"/>
        <d v="2026-06-11T00:00:00"/>
        <d v="2026-01-22T00:00:00"/>
        <d v="2026-07-27T00:00:00"/>
        <d v="2026-05-09T00:00:00"/>
        <d v="2026-05-04T00:00:00"/>
        <d v="2026-03-11T00:00:00"/>
        <d v="2026-01-29T00:00:00"/>
        <d v="2026-05-28T00:00:00"/>
        <d v="2026-04-17T00:00:00"/>
        <d v="2026-03-06T00:00:00"/>
        <d v="2026-06-25T00:00:00"/>
        <d v="2026-02-21T00:00:00"/>
        <d v="2026-03-26T00:00:00"/>
        <d v="2026-04-09T00:00:00"/>
        <d v="2026-02-06T00:00:00"/>
        <d v="2026-05-27T00:00:00"/>
        <d v="2026-01-30T00:00:00"/>
        <d v="2026-02-04T00:00:00"/>
        <d v="2026-07-01T00:00:00"/>
        <d v="2026-03-24T00:00:00"/>
        <d v="2026-06-10T00:00:00"/>
        <d v="2026-01-13T00:00:00"/>
        <d v="2026-05-08T00:00:00"/>
        <d v="2026-01-03T00:00:00"/>
        <d v="2026-05-12T00:00:00"/>
        <d v="2026-06-22T00:00:00"/>
        <d v="2026-04-23T00:00:00"/>
        <d v="2026-05-03T00:00:00"/>
        <d v="2026-08-28T00:00:00"/>
        <d v="2026-07-09T00:00:00"/>
        <d v="2026-02-17T00:00:00"/>
        <d v="2026-03-27T00:00:00"/>
        <d v="2026-06-13T00:00:00"/>
        <d v="2026-06-05T00:00:00"/>
        <d v="2026-06-24T00:00:00"/>
        <d v="2026-05-14T00:00:00"/>
        <d v="2026-01-15T00:00:00"/>
        <d v="2026-07-26T00:00:00"/>
        <d v="2026-08-17T00:00:00"/>
        <d v="2026-02-27T00:00:00"/>
        <d v="2026-05-19T00:00:00"/>
        <d v="2026-08-23T00:00:00"/>
        <d v="2026-03-07T00:00:00"/>
        <d v="2026-02-18T00:00:00"/>
        <d v="2026-08-21T00:00:00"/>
        <d v="2026-06-28T00:00:00"/>
        <d v="2026-05-17T00:00:00"/>
        <d v="2026-07-25T00:00:00"/>
      </sharedItems>
      <fieldGroup par="17"/>
    </cacheField>
    <cacheField name="Customer_ID" numFmtId="0">
      <sharedItems/>
    </cacheField>
    <cacheField name="Customer_Name" numFmtId="0">
      <sharedItems count="21">
        <s v="Neha Pawar"/>
        <s v="Aarav Sharma"/>
        <s v="Riya Desai"/>
        <s v="Karan Mehta"/>
        <s v="Isha Gupta"/>
        <s v="Siddharth Patil"/>
        <s v="Aditya More"/>
        <s v="  Sneha Kulkarni  "/>
        <s v="Rahul Jadhav"/>
        <s v="Kavya Joshi"/>
        <s v="Nikhil Pawar"/>
        <s v="Tanvi Shah"/>
        <s v="Sneha Kulkarni"/>
        <s v="Mansi Kulkarni"/>
        <s v="Rohan Deshmukh"/>
        <s v="Omkar More"/>
        <s v="Ananya Patil"/>
        <s v="Pooja Chavan"/>
        <s v="Priya Shah"/>
        <s v="Vivek Joshi"/>
        <s v="Akash Shinde"/>
      </sharedItems>
    </cacheField>
    <cacheField name="Clean_Customer_Name" numFmtId="0">
      <sharedItems/>
    </cacheField>
    <cacheField name="Product_Name" numFmtId="0">
      <sharedItems count="15">
        <s v="Backpack"/>
        <s v="Water Bottle"/>
        <s v="Notebook"/>
        <s v="Mouse"/>
        <s v="Shoes"/>
        <s v="T-Shirt"/>
        <s v="Keyboard"/>
        <s v="Headphones"/>
        <s v="Jeans"/>
        <s v="Pen Set"/>
        <s v="Office Chair"/>
        <s v="Smartphone"/>
        <s v="Desk"/>
        <s v="Laptop"/>
        <s v="Bookshelf"/>
      </sharedItems>
    </cacheField>
    <cacheField name="Category" numFmtId="0">
      <sharedItems count="5">
        <s v="Accessories"/>
        <s v="Stationery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08.64" maxValue="48790.46"/>
    </cacheField>
    <cacheField name="Total_Amount" numFmtId="0">
      <sharedItems containsSemiMixedTypes="0" containsString="0" containsNumber="1" minValue="117.5" maxValue="223955.5"/>
    </cacheField>
    <cacheField name="Calculated_AMT_Checking" numFmtId="0">
      <sharedItems containsSemiMixedTypes="0" containsString="0" containsNumber="1" minValue="117.5" maxValue="223955.5"/>
    </cacheField>
    <cacheField name="City" numFmtId="0">
      <sharedItems count="8">
        <s v="Nashik"/>
        <s v="Pune"/>
        <s v="Nagpur"/>
        <s v="Aurangabad"/>
        <s v="Thane"/>
        <s v="Navi Mumbai"/>
        <s v="Mumbai"/>
        <s v="Kolhapur"/>
      </sharedItems>
    </cacheField>
    <cacheField name="Clean_City" numFmtId="0">
      <sharedItems/>
    </cacheField>
    <cacheField name="Payment_Method" numFmtId="0">
      <sharedItems count="6">
        <s v="UPI"/>
        <s v="Credit Card"/>
        <s v="Cash"/>
        <s v="Net Banking"/>
        <s v="Debit Card"/>
        <s v="UPI "/>
      </sharedItems>
    </cacheField>
    <cacheField name="Clean_Payment_Method" numFmtId="0">
      <sharedItems/>
    </cacheField>
    <cacheField name="Order_Status" numFmtId="0">
      <sharedItems/>
    </cacheField>
    <cacheField name="Days (Order_Date)" numFmtId="0" databaseField="0">
      <fieldGroup base="1">
        <rangePr groupBy="days" startDate="2026-01-01T00:00:00" endDate="2026-09-02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9-2026"/>
        </groupItems>
      </fieldGroup>
    </cacheField>
    <cacheField name="Months (Order_Date)" numFmtId="0" databaseField="0">
      <fieldGroup base="1">
        <rangePr groupBy="months" startDate="2026-01-01T00:00:00" endDate="2026-09-02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1001"/>
    <x v="0"/>
    <s v="CUST108"/>
    <x v="0"/>
    <s v="Neha Pawar"/>
    <x v="0"/>
    <x v="0"/>
    <n v="1"/>
    <n v="1629"/>
    <n v="1629"/>
    <n v="1629"/>
    <x v="0"/>
    <s v="Nashik"/>
    <x v="0"/>
    <s v="UPI"/>
    <s v="Returned"/>
  </r>
  <r>
    <s v="ORD1002"/>
    <x v="1"/>
    <s v="CUST102"/>
    <x v="1"/>
    <s v="Aarav Sharma"/>
    <x v="1"/>
    <x v="0"/>
    <n v="5"/>
    <n v="642.16999999999996"/>
    <n v="3210.85"/>
    <n v="3210.85"/>
    <x v="1"/>
    <s v="Pune"/>
    <x v="1"/>
    <s v="Credit Card"/>
    <s v="Completed"/>
  </r>
  <r>
    <s v="ORD1003"/>
    <x v="2"/>
    <s v="CUST118"/>
    <x v="2"/>
    <s v="Riya Desai"/>
    <x v="2"/>
    <x v="1"/>
    <n v="5"/>
    <n v="108.64"/>
    <n v="543.20000000000005"/>
    <n v="543.20000000000005"/>
    <x v="2"/>
    <s v="Nagpur"/>
    <x v="2"/>
    <s v="Cash"/>
    <s v="Cancelled"/>
  </r>
  <r>
    <s v="ORD1004"/>
    <x v="3"/>
    <s v="CUST114"/>
    <x v="3"/>
    <s v="Karan Mehta"/>
    <x v="3"/>
    <x v="2"/>
    <n v="1"/>
    <n v="946.59"/>
    <n v="946.59"/>
    <n v="946.59"/>
    <x v="3"/>
    <s v="Aurangabad"/>
    <x v="1"/>
    <s v="Credit Card"/>
    <s v="Completed"/>
  </r>
  <r>
    <s v="ORD1005"/>
    <x v="4"/>
    <s v="CUST104"/>
    <x v="4"/>
    <s v="Isha Gupta"/>
    <x v="4"/>
    <x v="3"/>
    <n v="3"/>
    <n v="2945.41"/>
    <n v="8836.23"/>
    <n v="8836.23"/>
    <x v="4"/>
    <s v="Thane"/>
    <x v="3"/>
    <s v="Net Banking"/>
    <s v="Completed"/>
  </r>
  <r>
    <s v="ORD1006"/>
    <x v="5"/>
    <s v="CUST104"/>
    <x v="5"/>
    <s v="Siddharth Patil"/>
    <x v="4"/>
    <x v="3"/>
    <n v="1"/>
    <n v="3347.03"/>
    <n v="3347.03"/>
    <n v="3347.03"/>
    <x v="1"/>
    <s v="Pune"/>
    <x v="3"/>
    <s v="Net Banking"/>
    <s v="Completed"/>
  </r>
  <r>
    <s v="ORD1007"/>
    <x v="6"/>
    <s v="CUST119"/>
    <x v="6"/>
    <s v="Aditya More"/>
    <x v="5"/>
    <x v="3"/>
    <n v="5"/>
    <n v="969.38"/>
    <n v="4846.8999999999996"/>
    <n v="4846.8999999999996"/>
    <x v="1"/>
    <s v="Pune"/>
    <x v="0"/>
    <s v="UPI"/>
    <s v="Returned"/>
  </r>
  <r>
    <s v="ORD1008"/>
    <x v="7"/>
    <s v="CUST108"/>
    <x v="7"/>
    <s v="Sneha Kulkarni"/>
    <x v="6"/>
    <x v="2"/>
    <n v="3"/>
    <n v="1974.68"/>
    <n v="5924.04"/>
    <n v="5924.04"/>
    <x v="5"/>
    <s v="Navi Mumbai"/>
    <x v="4"/>
    <s v="Debit Card"/>
    <s v="Completed"/>
  </r>
  <r>
    <s v="ORD1009"/>
    <x v="8"/>
    <s v="CUST107"/>
    <x v="8"/>
    <s v="Rahul Jadhav"/>
    <x v="0"/>
    <x v="0"/>
    <n v="3"/>
    <n v="1678.56"/>
    <n v="5035.68"/>
    <n v="5035.68"/>
    <x v="1"/>
    <s v="Pune"/>
    <x v="3"/>
    <s v="Net Banking"/>
    <s v="Returned"/>
  </r>
  <r>
    <s v="ORD1010"/>
    <x v="9"/>
    <s v="CUST115"/>
    <x v="5"/>
    <s v="Siddharth Patil"/>
    <x v="7"/>
    <x v="2"/>
    <n v="5"/>
    <n v="2614.56"/>
    <n v="13072.8"/>
    <n v="13072.8"/>
    <x v="3"/>
    <s v="Aurangabad"/>
    <x v="3"/>
    <s v="Net Banking"/>
    <s v="Completed"/>
  </r>
  <r>
    <s v="ORD1011"/>
    <x v="10"/>
    <s v="CUST102"/>
    <x v="0"/>
    <s v="Neha Pawar"/>
    <x v="0"/>
    <x v="0"/>
    <n v="3"/>
    <n v="1923.43"/>
    <n v="5770.29"/>
    <n v="5770.29"/>
    <x v="6"/>
    <s v="Mumbai"/>
    <x v="4"/>
    <s v="Debit Card"/>
    <s v="Completed"/>
  </r>
  <r>
    <s v="ORD1012"/>
    <x v="11"/>
    <s v="CUST119"/>
    <x v="3"/>
    <s v="Karan Mehta"/>
    <x v="3"/>
    <x v="2"/>
    <n v="1"/>
    <n v="847.98"/>
    <n v="847.98"/>
    <n v="847.98"/>
    <x v="2"/>
    <s v="Nagpur"/>
    <x v="2"/>
    <s v="Cash"/>
    <s v="Completed"/>
  </r>
  <r>
    <s v="ORD1013"/>
    <x v="12"/>
    <s v="CUST108"/>
    <x v="9"/>
    <s v="Kavya Joshi"/>
    <x v="8"/>
    <x v="3"/>
    <n v="4"/>
    <n v="2042.86"/>
    <n v="8171.44"/>
    <n v="8171.44"/>
    <x v="3"/>
    <s v="Aurangabad"/>
    <x v="3"/>
    <s v="Net Banking"/>
    <s v="Completed"/>
  </r>
  <r>
    <s v="ORD1014"/>
    <x v="13"/>
    <s v="CUST105"/>
    <x v="10"/>
    <s v="Nikhil Pawar"/>
    <x v="8"/>
    <x v="3"/>
    <n v="5"/>
    <n v="2155.7399999999998"/>
    <n v="10778.7"/>
    <n v="10778.699999999999"/>
    <x v="7"/>
    <s v="Kolhapur"/>
    <x v="0"/>
    <s v="UPI"/>
    <s v="Completed"/>
  </r>
  <r>
    <s v="ORD1015"/>
    <x v="3"/>
    <s v="CUST114"/>
    <x v="11"/>
    <s v="Tanvi Shah"/>
    <x v="5"/>
    <x v="3"/>
    <n v="1"/>
    <n v="837.51"/>
    <n v="837.51"/>
    <n v="837.51"/>
    <x v="1"/>
    <s v="Pune"/>
    <x v="2"/>
    <s v="Cash"/>
    <s v="Completed"/>
  </r>
  <r>
    <s v="ORD1016"/>
    <x v="14"/>
    <s v="CUST101"/>
    <x v="12"/>
    <s v="Sneha Kulkarni"/>
    <x v="9"/>
    <x v="1"/>
    <n v="4"/>
    <n v="251.46"/>
    <n v="1005.84"/>
    <n v="1005.84"/>
    <x v="3"/>
    <s v="Aurangabad"/>
    <x v="4"/>
    <s v="Debit Card"/>
    <s v="Completed"/>
  </r>
  <r>
    <s v="ORD1017"/>
    <x v="15"/>
    <s v="CUST109"/>
    <x v="10"/>
    <s v="Nikhil Pawar"/>
    <x v="3"/>
    <x v="2"/>
    <n v="4"/>
    <n v="838.47"/>
    <n v="3353.88"/>
    <n v="3353.88"/>
    <x v="0"/>
    <s v="Nashik"/>
    <x v="3"/>
    <s v="Net Banking"/>
    <s v="Completed"/>
  </r>
  <r>
    <s v="ORD1018"/>
    <x v="16"/>
    <s v="CUST120"/>
    <x v="6"/>
    <s v="Aditya More"/>
    <x v="5"/>
    <x v="3"/>
    <n v="3"/>
    <n v="961.5"/>
    <n v="2884.5"/>
    <n v="2884.5"/>
    <x v="0"/>
    <s v="Nashik"/>
    <x v="4"/>
    <s v="Debit Card"/>
    <s v="Completed"/>
  </r>
  <r>
    <s v="ORD1019"/>
    <x v="17"/>
    <s v="CUST111"/>
    <x v="13"/>
    <s v="Mansi Kulkarni"/>
    <x v="2"/>
    <x v="1"/>
    <n v="5"/>
    <n v="130.04"/>
    <n v="650.20000000000005"/>
    <n v="650.19999999999993"/>
    <x v="6"/>
    <s v="Mumbai"/>
    <x v="0"/>
    <s v="UPI"/>
    <s v="Completed"/>
  </r>
  <r>
    <s v="ORD1020"/>
    <x v="18"/>
    <s v="CUST119"/>
    <x v="14"/>
    <s v="Rohan Deshmukh"/>
    <x v="8"/>
    <x v="3"/>
    <n v="3"/>
    <n v="2085.36"/>
    <n v="6256.08"/>
    <n v="6256.08"/>
    <x v="1"/>
    <s v="Pune"/>
    <x v="2"/>
    <s v="Cash"/>
    <s v="Completed"/>
  </r>
  <r>
    <s v="ORD1021"/>
    <x v="19"/>
    <s v="CUST116"/>
    <x v="9"/>
    <s v="Kavya Joshi"/>
    <x v="4"/>
    <x v="3"/>
    <n v="5"/>
    <n v="3370.13"/>
    <n v="16850.650000000001"/>
    <n v="16850.650000000001"/>
    <x v="0"/>
    <s v="Nashik"/>
    <x v="4"/>
    <s v="Debit Card"/>
    <s v="Cancelled"/>
  </r>
  <r>
    <s v="ORD1022"/>
    <x v="20"/>
    <s v="CUST118"/>
    <x v="6"/>
    <s v="Aditya More"/>
    <x v="5"/>
    <x v="3"/>
    <n v="5"/>
    <n v="886.16"/>
    <n v="4430.8"/>
    <n v="4430.8"/>
    <x v="3"/>
    <s v="Aurangabad"/>
    <x v="2"/>
    <s v="Cash"/>
    <s v="Returned"/>
  </r>
  <r>
    <s v="ORD1023"/>
    <x v="21"/>
    <s v="CUST115"/>
    <x v="12"/>
    <s v="Sneha Kulkarni"/>
    <x v="0"/>
    <x v="0"/>
    <n v="3"/>
    <n v="1777.72"/>
    <n v="5333.16"/>
    <n v="5333.16"/>
    <x v="2"/>
    <s v="Nagpur"/>
    <x v="1"/>
    <s v="Credit Card"/>
    <s v="Completed"/>
  </r>
  <r>
    <s v="ORD1024"/>
    <x v="22"/>
    <s v="CUST119"/>
    <x v="0"/>
    <s v="Neha Pawar"/>
    <x v="10"/>
    <x v="4"/>
    <n v="1"/>
    <n v="8650.1200000000008"/>
    <n v="8650.1200000000008"/>
    <n v="8650.1200000000008"/>
    <x v="6"/>
    <s v="Mumbai"/>
    <x v="0"/>
    <s v="UPI"/>
    <s v="Returned"/>
  </r>
  <r>
    <s v="ORD1025"/>
    <x v="23"/>
    <s v="CUST102"/>
    <x v="3"/>
    <s v="Karan Mehta"/>
    <x v="0"/>
    <x v="0"/>
    <n v="1"/>
    <n v="1702.42"/>
    <n v="1702.42"/>
    <n v="1702.42"/>
    <x v="1"/>
    <s v="Pune"/>
    <x v="3"/>
    <s v="Net Banking"/>
    <s v="Completed"/>
  </r>
  <r>
    <s v="ORD1026"/>
    <x v="24"/>
    <s v="CUST119"/>
    <x v="15"/>
    <s v="Omkar More"/>
    <x v="3"/>
    <x v="2"/>
    <n v="4"/>
    <n v="848.56"/>
    <n v="3394.24"/>
    <n v="3394.24"/>
    <x v="6"/>
    <s v="Mumbai"/>
    <x v="1"/>
    <s v="Credit Card"/>
    <s v="Completed"/>
  </r>
  <r>
    <s v="ORD1027"/>
    <x v="25"/>
    <s v="CUST114"/>
    <x v="4"/>
    <s v="Isha Gupta"/>
    <x v="4"/>
    <x v="3"/>
    <n v="4"/>
    <n v="3001.86"/>
    <n v="12007.44"/>
    <n v="12007.44"/>
    <x v="5"/>
    <s v="Navi Mumbai"/>
    <x v="2"/>
    <s v="Cash"/>
    <s v="Completed"/>
  </r>
  <r>
    <s v="ORD1028"/>
    <x v="26"/>
    <s v="CUST104"/>
    <x v="16"/>
    <s v="Ananya Patil"/>
    <x v="5"/>
    <x v="3"/>
    <n v="1"/>
    <n v="931.21"/>
    <n v="931.21"/>
    <n v="931.21"/>
    <x v="5"/>
    <s v="Navi Mumbai"/>
    <x v="4"/>
    <s v="Debit Card"/>
    <s v="Completed"/>
  </r>
  <r>
    <s v="ORD1029"/>
    <x v="27"/>
    <s v="CUST105"/>
    <x v="2"/>
    <s v="Riya Desai"/>
    <x v="6"/>
    <x v="2"/>
    <n v="2"/>
    <n v="1688.48"/>
    <n v="3376.96"/>
    <n v="3376.96"/>
    <x v="0"/>
    <s v="Nashik"/>
    <x v="4"/>
    <s v="Debit Card"/>
    <s v="Completed"/>
  </r>
  <r>
    <s v="ORD1030"/>
    <x v="28"/>
    <s v="CUST118"/>
    <x v="12"/>
    <s v="Sneha Kulkarni"/>
    <x v="6"/>
    <x v="2"/>
    <n v="1"/>
    <n v="1779.53"/>
    <n v="1779.53"/>
    <n v="1779.53"/>
    <x v="6"/>
    <s v="Mumbai"/>
    <x v="3"/>
    <s v="Net Banking"/>
    <s v="Completed"/>
  </r>
  <r>
    <s v="ORD1031"/>
    <x v="29"/>
    <s v="CUST116"/>
    <x v="6"/>
    <s v="Aditya More"/>
    <x v="11"/>
    <x v="2"/>
    <n v="2"/>
    <n v="26131.34"/>
    <n v="52262.68"/>
    <n v="52262.68"/>
    <x v="5"/>
    <s v="Navi Mumbai"/>
    <x v="0"/>
    <s v="UPI"/>
    <s v="Completed"/>
  </r>
  <r>
    <s v="ORD1032"/>
    <x v="30"/>
    <s v="CUST115"/>
    <x v="17"/>
    <s v="Pooja Chavan"/>
    <x v="12"/>
    <x v="4"/>
    <n v="1"/>
    <n v="13164.74"/>
    <n v="13164.74"/>
    <n v="13164.74"/>
    <x v="5"/>
    <s v="Navi Mumbai"/>
    <x v="3"/>
    <s v="Net Banking"/>
    <s v="Returned"/>
  </r>
  <r>
    <s v="ORD1033"/>
    <x v="31"/>
    <s v="CUST107"/>
    <x v="16"/>
    <s v="Ananya Patil"/>
    <x v="1"/>
    <x v="0"/>
    <n v="4"/>
    <n v="651.66999999999996"/>
    <n v="2606.6799999999998"/>
    <n v="2606.6799999999998"/>
    <x v="6"/>
    <s v="Mumbai"/>
    <x v="4"/>
    <s v="Debit Card"/>
    <s v="Completed"/>
  </r>
  <r>
    <s v="ORD1034"/>
    <x v="32"/>
    <s v="CUST117"/>
    <x v="18"/>
    <s v="Priya Shah"/>
    <x v="13"/>
    <x v="2"/>
    <n v="5"/>
    <n v="44791.1"/>
    <n v="223955.5"/>
    <n v="223955.5"/>
    <x v="6"/>
    <s v="Mumbai"/>
    <x v="3"/>
    <s v="Net Banking"/>
    <s v="Completed"/>
  </r>
  <r>
    <s v="ORD1035"/>
    <x v="33"/>
    <s v="CUST108"/>
    <x v="5"/>
    <s v="Siddharth Patil"/>
    <x v="5"/>
    <x v="3"/>
    <n v="2"/>
    <n v="822.33"/>
    <n v="1644.66"/>
    <n v="1644.66"/>
    <x v="1"/>
    <s v="Pune"/>
    <x v="3"/>
    <s v="Net Banking"/>
    <s v="Completed"/>
  </r>
  <r>
    <s v="ORD1036"/>
    <x v="34"/>
    <s v="CUST114"/>
    <x v="15"/>
    <s v="Omkar More"/>
    <x v="9"/>
    <x v="1"/>
    <n v="5"/>
    <n v="226.99"/>
    <n v="1134.95"/>
    <n v="1134.95"/>
    <x v="4"/>
    <s v="Thane"/>
    <x v="4"/>
    <s v="Debit Card"/>
    <s v="Completed"/>
  </r>
  <r>
    <s v="ORD1037"/>
    <x v="35"/>
    <s v="CUST105"/>
    <x v="17"/>
    <s v="Pooja Chavan"/>
    <x v="0"/>
    <x v="0"/>
    <n v="3"/>
    <n v="1705.93"/>
    <n v="5117.79"/>
    <n v="5117.79"/>
    <x v="7"/>
    <s v="Kolhapur"/>
    <x v="4"/>
    <s v="Debit Card"/>
    <s v="Completed"/>
  </r>
  <r>
    <s v="ORD1038"/>
    <x v="36"/>
    <s v="CUST104"/>
    <x v="14"/>
    <s v="Rohan Deshmukh"/>
    <x v="13"/>
    <x v="2"/>
    <n v="4"/>
    <n v="46090.43"/>
    <n v="184361.72"/>
    <n v="184361.72"/>
    <x v="2"/>
    <s v="Nagpur"/>
    <x v="3"/>
    <s v="Net Banking"/>
    <s v="Completed"/>
  </r>
  <r>
    <s v="ORD1039"/>
    <x v="37"/>
    <s v="CUST108"/>
    <x v="4"/>
    <s v="Isha Gupta"/>
    <x v="7"/>
    <x v="2"/>
    <n v="3"/>
    <n v="2690.43"/>
    <n v="8071.29"/>
    <n v="8071.2899999999991"/>
    <x v="3"/>
    <s v="Aurangabad"/>
    <x v="1"/>
    <s v="Credit Card"/>
    <s v="Completed"/>
  </r>
  <r>
    <s v="ORD1040"/>
    <x v="38"/>
    <s v="CUST117"/>
    <x v="1"/>
    <s v="Aarav Sharma"/>
    <x v="5"/>
    <x v="3"/>
    <n v="5"/>
    <n v="936.64"/>
    <n v="4683.2"/>
    <n v="4683.2"/>
    <x v="3"/>
    <s v="Aurangabad"/>
    <x v="0"/>
    <s v="UPI"/>
    <s v="Completed"/>
  </r>
  <r>
    <s v="ORD1041"/>
    <x v="39"/>
    <s v="CUST118"/>
    <x v="19"/>
    <s v="Vivek Joshi"/>
    <x v="3"/>
    <x v="2"/>
    <n v="1"/>
    <n v="970.15"/>
    <n v="970.15"/>
    <n v="970.15"/>
    <x v="3"/>
    <s v="Aurangabad"/>
    <x v="4"/>
    <s v="Debit Card"/>
    <s v="Cancelled"/>
  </r>
  <r>
    <s v="ORD1042"/>
    <x v="40"/>
    <s v="CUST109"/>
    <x v="10"/>
    <s v="Nikhil Pawar"/>
    <x v="6"/>
    <x v="2"/>
    <n v="3"/>
    <n v="1693.3"/>
    <n v="5079.8999999999996"/>
    <n v="5079.8999999999996"/>
    <x v="7"/>
    <s v="Kolhapur"/>
    <x v="4"/>
    <s v="Debit Card"/>
    <s v="Completed"/>
  </r>
  <r>
    <s v="ORD1043"/>
    <x v="41"/>
    <s v="CUST101"/>
    <x v="3"/>
    <s v="Karan Mehta"/>
    <x v="11"/>
    <x v="2"/>
    <n v="4"/>
    <n v="29844.35"/>
    <n v="119377.4"/>
    <n v="119377.4"/>
    <x v="0"/>
    <s v="Nashik"/>
    <x v="4"/>
    <s v="Debit Card"/>
    <s v="Completed"/>
  </r>
  <r>
    <s v="ORD1044"/>
    <x v="42"/>
    <s v="CUST118"/>
    <x v="1"/>
    <s v="Aarav Sharma"/>
    <x v="1"/>
    <x v="0"/>
    <n v="4"/>
    <n v="707.24"/>
    <n v="2828.96"/>
    <n v="2828.96"/>
    <x v="1"/>
    <s v="Pune"/>
    <x v="0"/>
    <s v="UPI"/>
    <s v="Returned"/>
  </r>
  <r>
    <s v="ORD1045"/>
    <x v="43"/>
    <s v="CUST112"/>
    <x v="15"/>
    <s v="Omkar More"/>
    <x v="8"/>
    <x v="3"/>
    <n v="2"/>
    <n v="2220.06"/>
    <n v="4440.12"/>
    <n v="4440.12"/>
    <x v="0"/>
    <s v="Nashik"/>
    <x v="2"/>
    <s v="Cash"/>
    <s v="Completed"/>
  </r>
  <r>
    <s v="ORD1046"/>
    <x v="44"/>
    <s v="CUST102"/>
    <x v="4"/>
    <s v="Isha Gupta"/>
    <x v="13"/>
    <x v="2"/>
    <n v="3"/>
    <n v="43781.86"/>
    <n v="131345.57999999999"/>
    <n v="131345.58000000002"/>
    <x v="2"/>
    <s v="Nagpur"/>
    <x v="1"/>
    <s v="Credit Card"/>
    <s v="Returned"/>
  </r>
  <r>
    <s v="ORD1047"/>
    <x v="45"/>
    <s v="CUST114"/>
    <x v="11"/>
    <s v="Tanvi Shah"/>
    <x v="11"/>
    <x v="2"/>
    <n v="3"/>
    <n v="29568.65"/>
    <n v="88705.95"/>
    <n v="88705.950000000012"/>
    <x v="0"/>
    <s v="Nashik"/>
    <x v="1"/>
    <s v="Credit Card"/>
    <s v="Completed"/>
  </r>
  <r>
    <s v="ORD1048"/>
    <x v="46"/>
    <s v="CUST106"/>
    <x v="3"/>
    <s v="Karan Mehta"/>
    <x v="4"/>
    <x v="3"/>
    <n v="2"/>
    <n v="3444.11"/>
    <n v="6888.22"/>
    <n v="6888.22"/>
    <x v="5"/>
    <s v="Navi Mumbai"/>
    <x v="1"/>
    <s v="Credit Card"/>
    <s v="Completed"/>
  </r>
  <r>
    <s v="ORD1049"/>
    <x v="47"/>
    <s v="CUST116"/>
    <x v="0"/>
    <s v="Neha Pawar"/>
    <x v="7"/>
    <x v="2"/>
    <n v="1"/>
    <n v="2441.27"/>
    <n v="2441.27"/>
    <n v="2441.27"/>
    <x v="2"/>
    <s v="Nagpur"/>
    <x v="2"/>
    <s v="Cash"/>
    <s v="Completed"/>
  </r>
  <r>
    <s v="ORD1050"/>
    <x v="48"/>
    <s v="CUST107"/>
    <x v="5"/>
    <s v="Siddharth Patil"/>
    <x v="3"/>
    <x v="2"/>
    <n v="2"/>
    <n v="850.13"/>
    <n v="1700.26"/>
    <n v="1700.26"/>
    <x v="4"/>
    <s v="Thane"/>
    <x v="4"/>
    <s v="Debit Card"/>
    <s v="Completed"/>
  </r>
  <r>
    <s v="ORD1051"/>
    <x v="49"/>
    <s v="CUST113"/>
    <x v="9"/>
    <s v="Kavya Joshi"/>
    <x v="4"/>
    <x v="3"/>
    <n v="3"/>
    <n v="3104.73"/>
    <n v="9314.19"/>
    <n v="9314.19"/>
    <x v="4"/>
    <s v="Thane"/>
    <x v="0"/>
    <s v="UPI"/>
    <s v="Completed"/>
  </r>
  <r>
    <s v="ORD1052"/>
    <x v="30"/>
    <s v="CUST102"/>
    <x v="12"/>
    <s v="Sneha Kulkarni"/>
    <x v="8"/>
    <x v="3"/>
    <n v="3"/>
    <n v="2058.5700000000002"/>
    <n v="6175.71"/>
    <n v="6175.7100000000009"/>
    <x v="5"/>
    <s v="Navi Mumbai"/>
    <x v="4"/>
    <s v="Debit Card"/>
    <s v="Returned"/>
  </r>
  <r>
    <s v="ORD1053"/>
    <x v="49"/>
    <s v="CUST104"/>
    <x v="5"/>
    <s v="Siddharth Patil"/>
    <x v="4"/>
    <x v="3"/>
    <n v="3"/>
    <n v="3159.29"/>
    <n v="9477.8700000000008"/>
    <n v="9477.869999999999"/>
    <x v="2"/>
    <s v="Nagpur"/>
    <x v="4"/>
    <s v="Debit Card"/>
    <s v="Completed"/>
  </r>
  <r>
    <s v="ORD1054"/>
    <x v="50"/>
    <s v="CUST118"/>
    <x v="6"/>
    <s v="Aditya More"/>
    <x v="1"/>
    <x v="0"/>
    <n v="4"/>
    <n v="630.24"/>
    <n v="2520.96"/>
    <n v="2520.96"/>
    <x v="4"/>
    <s v="Thane"/>
    <x v="2"/>
    <s v="Cash"/>
    <s v="Completed"/>
  </r>
  <r>
    <s v="ORD1055"/>
    <x v="51"/>
    <s v="CUST104"/>
    <x v="17"/>
    <s v="Pooja Chavan"/>
    <x v="0"/>
    <x v="0"/>
    <n v="3"/>
    <n v="1844.34"/>
    <n v="5533.02"/>
    <n v="5533.0199999999995"/>
    <x v="3"/>
    <s v="Aurangabad"/>
    <x v="5"/>
    <s v="UPI"/>
    <s v="Completed"/>
  </r>
  <r>
    <s v="ORD1056"/>
    <x v="52"/>
    <s v="CUST114"/>
    <x v="5"/>
    <s v="Siddharth Patil"/>
    <x v="12"/>
    <x v="4"/>
    <n v="3"/>
    <n v="12130.59"/>
    <n v="36391.769999999997"/>
    <n v="36391.770000000004"/>
    <x v="0"/>
    <s v="Nashik"/>
    <x v="3"/>
    <s v="Net Banking"/>
    <s v="Cancelled"/>
  </r>
  <r>
    <s v="ORD1057"/>
    <x v="15"/>
    <s v="CUST110"/>
    <x v="17"/>
    <s v="Pooja Chavan"/>
    <x v="3"/>
    <x v="2"/>
    <n v="4"/>
    <n v="908.63"/>
    <n v="3634.52"/>
    <n v="3634.52"/>
    <x v="2"/>
    <s v="Nagpur"/>
    <x v="2"/>
    <s v="Cash"/>
    <s v="Cancelled"/>
  </r>
  <r>
    <s v="ORD1058"/>
    <x v="53"/>
    <s v="CUST107"/>
    <x v="10"/>
    <s v="Nikhil Pawar"/>
    <x v="9"/>
    <x v="1"/>
    <n v="3"/>
    <n v="248.25"/>
    <n v="744.75"/>
    <n v="744.75"/>
    <x v="7"/>
    <s v="Kolhapur"/>
    <x v="1"/>
    <s v="Credit Card"/>
    <s v="Returned"/>
  </r>
  <r>
    <s v="ORD1059"/>
    <x v="40"/>
    <s v="CUST120"/>
    <x v="3"/>
    <s v="Karan Mehta"/>
    <x v="11"/>
    <x v="2"/>
    <n v="3"/>
    <n v="28086.53"/>
    <n v="84259.59"/>
    <n v="84259.59"/>
    <x v="1"/>
    <s v="Pune"/>
    <x v="1"/>
    <s v="Credit Card"/>
    <s v="Returned"/>
  </r>
  <r>
    <s v="ORD1060"/>
    <x v="54"/>
    <s v="CUST101"/>
    <x v="16"/>
    <s v="Ananya Patil"/>
    <x v="3"/>
    <x v="2"/>
    <n v="2"/>
    <n v="955.18"/>
    <n v="1910.36"/>
    <n v="1910.36"/>
    <x v="2"/>
    <s v="Nagpur"/>
    <x v="2"/>
    <s v="Cash"/>
    <s v="Cancelled"/>
  </r>
  <r>
    <s v="ORD1061"/>
    <x v="45"/>
    <s v="CUST119"/>
    <x v="6"/>
    <s v="Aditya More"/>
    <x v="5"/>
    <x v="3"/>
    <n v="1"/>
    <n v="891.97"/>
    <n v="891.97"/>
    <n v="891.97"/>
    <x v="5"/>
    <s v="Navi Mumbai"/>
    <x v="2"/>
    <s v="Cash"/>
    <s v="Completed"/>
  </r>
  <r>
    <s v="ORD1062"/>
    <x v="55"/>
    <s v="CUST104"/>
    <x v="2"/>
    <s v="Riya Desai"/>
    <x v="6"/>
    <x v="2"/>
    <n v="2"/>
    <n v="1856.18"/>
    <n v="3712.36"/>
    <n v="3712.36"/>
    <x v="2"/>
    <s v="Nagpur"/>
    <x v="1"/>
    <s v="Credit Card"/>
    <s v="Returned"/>
  </r>
  <r>
    <s v="ORD1063"/>
    <x v="56"/>
    <s v="CUST104"/>
    <x v="20"/>
    <s v="Akash Shinde"/>
    <x v="2"/>
    <x v="1"/>
    <n v="4"/>
    <n v="109.21"/>
    <n v="436.84"/>
    <n v="436.84"/>
    <x v="0"/>
    <s v="Nashik"/>
    <x v="2"/>
    <s v="Cash"/>
    <s v="Returned"/>
  </r>
  <r>
    <s v="ORD1064"/>
    <x v="57"/>
    <s v="CUST115"/>
    <x v="11"/>
    <s v="Tanvi Shah"/>
    <x v="2"/>
    <x v="1"/>
    <n v="5"/>
    <n v="122.29"/>
    <n v="611.45000000000005"/>
    <n v="611.45000000000005"/>
    <x v="5"/>
    <s v="Navi Mumbai"/>
    <x v="3"/>
    <s v="Net Banking"/>
    <s v="Completed"/>
  </r>
  <r>
    <s v="ORD1065"/>
    <x v="58"/>
    <s v="CUST115"/>
    <x v="8"/>
    <s v="Rahul Jadhav"/>
    <x v="8"/>
    <x v="3"/>
    <n v="2"/>
    <n v="2307.21"/>
    <n v="4614.42"/>
    <n v="4614.42"/>
    <x v="2"/>
    <s v="Nagpur"/>
    <x v="4"/>
    <s v="Debit Card"/>
    <s v="Cancelled"/>
  </r>
  <r>
    <s v="ORD1066"/>
    <x v="59"/>
    <s v="CUST110"/>
    <x v="0"/>
    <s v="Neha Pawar"/>
    <x v="14"/>
    <x v="4"/>
    <n v="2"/>
    <n v="6206.98"/>
    <n v="12413.96"/>
    <n v="12413.96"/>
    <x v="3"/>
    <s v="Aurangabad"/>
    <x v="4"/>
    <s v="Debit Card"/>
    <s v="Completed"/>
  </r>
  <r>
    <s v="ORD1067"/>
    <x v="60"/>
    <s v="CUST108"/>
    <x v="5"/>
    <s v="Siddharth Patil"/>
    <x v="8"/>
    <x v="3"/>
    <n v="5"/>
    <n v="2015.45"/>
    <n v="10077.25"/>
    <n v="10077.25"/>
    <x v="0"/>
    <s v="Nashik"/>
    <x v="1"/>
    <s v="Credit Card"/>
    <s v="Completed"/>
  </r>
  <r>
    <s v="ORD1068"/>
    <x v="61"/>
    <s v="CUST114"/>
    <x v="16"/>
    <s v="Ananya Patil"/>
    <x v="12"/>
    <x v="4"/>
    <n v="4"/>
    <n v="11594.12"/>
    <n v="46376.480000000003"/>
    <n v="46376.480000000003"/>
    <x v="2"/>
    <s v="Nagpur"/>
    <x v="2"/>
    <s v="Cash"/>
    <s v="Completed"/>
  </r>
  <r>
    <s v="ORD1069"/>
    <x v="62"/>
    <s v="CUST119"/>
    <x v="5"/>
    <s v="Siddharth Patil"/>
    <x v="8"/>
    <x v="3"/>
    <n v="5"/>
    <n v="2396.27"/>
    <n v="11981.35"/>
    <n v="11981.35"/>
    <x v="7"/>
    <s v="Kolhapur"/>
    <x v="0"/>
    <s v="UPI"/>
    <s v="Completed"/>
  </r>
  <r>
    <s v="ORD1070"/>
    <x v="43"/>
    <s v="CUST114"/>
    <x v="9"/>
    <s v="Kavya Joshi"/>
    <x v="3"/>
    <x v="2"/>
    <n v="4"/>
    <n v="963.62"/>
    <n v="3854.48"/>
    <n v="3854.48"/>
    <x v="2"/>
    <s v="Nagpur"/>
    <x v="2"/>
    <s v="Cash"/>
    <s v="Completed"/>
  </r>
  <r>
    <s v="ORD1071"/>
    <x v="63"/>
    <s v="CUST111"/>
    <x v="5"/>
    <s v="Siddharth Patil"/>
    <x v="3"/>
    <x v="2"/>
    <n v="4"/>
    <n v="897.42"/>
    <n v="3589.68"/>
    <n v="3589.68"/>
    <x v="0"/>
    <s v="Nashik"/>
    <x v="2"/>
    <s v="Cash"/>
    <s v="Completed"/>
  </r>
  <r>
    <s v="ORD1072"/>
    <x v="64"/>
    <s v="CUST119"/>
    <x v="15"/>
    <s v="Omkar More"/>
    <x v="9"/>
    <x v="1"/>
    <n v="5"/>
    <n v="226.35"/>
    <n v="1131.75"/>
    <n v="1131.75"/>
    <x v="6"/>
    <s v="Mumbai"/>
    <x v="0"/>
    <s v="UPI"/>
    <s v="Returned"/>
  </r>
  <r>
    <s v="ORD1073"/>
    <x v="65"/>
    <s v="CUST102"/>
    <x v="8"/>
    <s v="Rahul Jadhav"/>
    <x v="12"/>
    <x v="4"/>
    <n v="2"/>
    <n v="12880.44"/>
    <n v="25760.880000000001"/>
    <n v="25760.880000000001"/>
    <x v="5"/>
    <s v="Navi Mumbai"/>
    <x v="4"/>
    <s v="Debit Card"/>
    <s v="Completed"/>
  </r>
  <r>
    <s v="ORD1074"/>
    <x v="37"/>
    <s v="CUST113"/>
    <x v="8"/>
    <s v="Rahul Jadhav"/>
    <x v="14"/>
    <x v="4"/>
    <n v="3"/>
    <n v="6288.75"/>
    <n v="18866.25"/>
    <n v="18866.25"/>
    <x v="5"/>
    <s v="Navi Mumbai"/>
    <x v="4"/>
    <s v="Debit Card"/>
    <s v="Completed"/>
  </r>
  <r>
    <s v="ORD1075"/>
    <x v="66"/>
    <s v="CUST112"/>
    <x v="0"/>
    <s v="Neha Pawar"/>
    <x v="14"/>
    <x v="4"/>
    <n v="1"/>
    <n v="6823.73"/>
    <n v="6823.73"/>
    <n v="6823.73"/>
    <x v="1"/>
    <s v="Pune"/>
    <x v="0"/>
    <s v="UPI"/>
    <s v="Completed"/>
  </r>
  <r>
    <s v="ORD1076"/>
    <x v="67"/>
    <s v="CUST105"/>
    <x v="0"/>
    <s v="Neha Pawar"/>
    <x v="6"/>
    <x v="2"/>
    <n v="2"/>
    <n v="1922.12"/>
    <n v="3844.24"/>
    <n v="3844.24"/>
    <x v="0"/>
    <s v="Nashik"/>
    <x v="2"/>
    <s v="Cash"/>
    <s v="Returned"/>
  </r>
  <r>
    <s v="ORD1077"/>
    <x v="61"/>
    <s v="CUST109"/>
    <x v="4"/>
    <s v="Isha Gupta"/>
    <x v="11"/>
    <x v="2"/>
    <n v="5"/>
    <n v="30507.439999999999"/>
    <n v="152537.20000000001"/>
    <n v="152537.19999999998"/>
    <x v="0"/>
    <s v="Nashik"/>
    <x v="3"/>
    <s v="Net Banking"/>
    <s v="Cancelled"/>
  </r>
  <r>
    <s v="ORD1078"/>
    <x v="9"/>
    <s v="CUST110"/>
    <x v="12"/>
    <s v="Sneha Kulkarni"/>
    <x v="1"/>
    <x v="0"/>
    <n v="1"/>
    <n v="738.89"/>
    <n v="738.89"/>
    <n v="738.89"/>
    <x v="6"/>
    <s v="Mumbai"/>
    <x v="4"/>
    <s v="Debit Card"/>
    <s v="Cancelled"/>
  </r>
  <r>
    <s v="ORD1079"/>
    <x v="68"/>
    <s v="CUST107"/>
    <x v="14"/>
    <s v="Rohan Deshmukh"/>
    <x v="0"/>
    <x v="0"/>
    <n v="4"/>
    <n v="1762.8"/>
    <n v="7051.2"/>
    <n v="7051.2"/>
    <x v="2"/>
    <s v="Nagpur"/>
    <x v="0"/>
    <s v="UPI"/>
    <s v="Returned"/>
  </r>
  <r>
    <s v="ORD1080"/>
    <x v="17"/>
    <s v="CUST104"/>
    <x v="15"/>
    <s v="Omkar More"/>
    <x v="4"/>
    <x v="3"/>
    <n v="3"/>
    <n v="3424.19"/>
    <n v="10272.57"/>
    <n v="10272.57"/>
    <x v="6"/>
    <s v="Mumbai"/>
    <x v="4"/>
    <s v="Debit Card"/>
    <s v="Cancelled"/>
  </r>
  <r>
    <s v="ORD1081"/>
    <x v="26"/>
    <s v="CUST111"/>
    <x v="1"/>
    <s v="Aarav Sharma"/>
    <x v="12"/>
    <x v="4"/>
    <n v="3"/>
    <n v="10965.5"/>
    <n v="32896.5"/>
    <n v="32896.5"/>
    <x v="5"/>
    <s v="Navi Mumbai"/>
    <x v="2"/>
    <s v="Cash"/>
    <s v="Completed"/>
  </r>
  <r>
    <s v="ORD1082"/>
    <x v="69"/>
    <s v="CUST115"/>
    <x v="19"/>
    <s v="Vivek Joshi"/>
    <x v="12"/>
    <x v="4"/>
    <n v="3"/>
    <n v="12325.4"/>
    <n v="36976.199999999997"/>
    <n v="36976.199999999997"/>
    <x v="5"/>
    <s v="Navi Mumbai"/>
    <x v="1"/>
    <s v="Credit Card"/>
    <s v="Returned"/>
  </r>
  <r>
    <s v="ORD1083"/>
    <x v="32"/>
    <s v="CUST118"/>
    <x v="13"/>
    <s v="Mansi Kulkarni"/>
    <x v="2"/>
    <x v="1"/>
    <n v="3"/>
    <n v="122.78"/>
    <n v="368.34"/>
    <n v="368.34000000000003"/>
    <x v="7"/>
    <s v="Kolhapur"/>
    <x v="2"/>
    <s v="Cash"/>
    <s v="Returned"/>
  </r>
  <r>
    <s v="ORD1084"/>
    <x v="70"/>
    <s v="CUST103"/>
    <x v="8"/>
    <s v="Rahul Jadhav"/>
    <x v="9"/>
    <x v="1"/>
    <n v="3"/>
    <n v="241.12"/>
    <n v="723.36"/>
    <n v="723.36"/>
    <x v="7"/>
    <s v="Kolhapur"/>
    <x v="1"/>
    <s v="Credit Card"/>
    <s v="Completed"/>
  </r>
  <r>
    <s v="ORD1085"/>
    <x v="71"/>
    <s v="CUST101"/>
    <x v="13"/>
    <s v="Mansi Kulkarni"/>
    <x v="9"/>
    <x v="1"/>
    <n v="5"/>
    <n v="258.41000000000003"/>
    <n v="1292.05"/>
    <n v="1292.0500000000002"/>
    <x v="4"/>
    <s v="Thane"/>
    <x v="1"/>
    <s v="Credit Card"/>
    <s v="Completed"/>
  </r>
  <r>
    <s v="ORD1086"/>
    <x v="72"/>
    <s v="CUST109"/>
    <x v="11"/>
    <s v="Tanvi Shah"/>
    <x v="6"/>
    <x v="2"/>
    <n v="3"/>
    <n v="1907.22"/>
    <n v="5721.66"/>
    <n v="5721.66"/>
    <x v="3"/>
    <s v="Aurangabad"/>
    <x v="3"/>
    <s v="Net Banking"/>
    <s v="Completed"/>
  </r>
  <r>
    <s v="ORD1087"/>
    <x v="73"/>
    <s v="CUST114"/>
    <x v="13"/>
    <s v="Mansi Kulkarni"/>
    <x v="2"/>
    <x v="1"/>
    <n v="2"/>
    <n v="110.05"/>
    <n v="220.1"/>
    <n v="220.1"/>
    <x v="2"/>
    <s v="Nagpur"/>
    <x v="2"/>
    <s v="Cash"/>
    <s v="Returned"/>
  </r>
  <r>
    <s v="ORD1088"/>
    <x v="74"/>
    <s v="CUST103"/>
    <x v="17"/>
    <s v="Pooja Chavan"/>
    <x v="1"/>
    <x v="0"/>
    <n v="4"/>
    <n v="692.74"/>
    <n v="2770.96"/>
    <n v="2770.96"/>
    <x v="2"/>
    <s v="Nagpur"/>
    <x v="2"/>
    <s v="Cash"/>
    <s v="Returned"/>
  </r>
  <r>
    <s v="ORD1089"/>
    <x v="75"/>
    <s v="CUST116"/>
    <x v="9"/>
    <s v="Kavya Joshi"/>
    <x v="6"/>
    <x v="2"/>
    <n v="3"/>
    <n v="1859.03"/>
    <n v="5577.09"/>
    <n v="5577.09"/>
    <x v="4"/>
    <s v="Thane"/>
    <x v="2"/>
    <s v="Cash"/>
    <s v="Returned"/>
  </r>
  <r>
    <s v="ORD1090"/>
    <x v="76"/>
    <s v="CUST109"/>
    <x v="17"/>
    <s v="Pooja Chavan"/>
    <x v="2"/>
    <x v="1"/>
    <n v="3"/>
    <n v="116.44"/>
    <n v="349.32"/>
    <n v="349.32"/>
    <x v="3"/>
    <s v="Aurangabad"/>
    <x v="1"/>
    <s v="Credit Card"/>
    <s v="Completed"/>
  </r>
  <r>
    <s v="ORD1091"/>
    <x v="39"/>
    <s v="CUST118"/>
    <x v="18"/>
    <s v="Priya Shah"/>
    <x v="1"/>
    <x v="0"/>
    <n v="2"/>
    <n v="674.18"/>
    <n v="1348.36"/>
    <n v="1348.36"/>
    <x v="2"/>
    <s v="Nagpur"/>
    <x v="1"/>
    <s v="Credit Card"/>
    <s v="Returned"/>
  </r>
  <r>
    <s v="ORD1092"/>
    <x v="77"/>
    <s v="CUST117"/>
    <x v="11"/>
    <s v="Tanvi Shah"/>
    <x v="14"/>
    <x v="4"/>
    <n v="3"/>
    <n v="6791.96"/>
    <n v="20375.88"/>
    <n v="20375.88"/>
    <x v="3"/>
    <s v="Aurangabad"/>
    <x v="0"/>
    <s v="UPI"/>
    <s v="Completed"/>
  </r>
  <r>
    <s v="ORD1093"/>
    <x v="78"/>
    <s v="CUST101"/>
    <x v="9"/>
    <s v="Kavya Joshi"/>
    <x v="3"/>
    <x v="2"/>
    <n v="2"/>
    <n v="874.96"/>
    <n v="1749.92"/>
    <n v="1749.92"/>
    <x v="0"/>
    <s v="Nashik"/>
    <x v="4"/>
    <s v="Debit Card"/>
    <s v="Completed"/>
  </r>
  <r>
    <s v="ORD1094"/>
    <x v="11"/>
    <s v="CUST105"/>
    <x v="13"/>
    <s v="Mansi Kulkarni"/>
    <x v="13"/>
    <x v="2"/>
    <n v="5"/>
    <n v="43129.23"/>
    <n v="215646.15"/>
    <n v="215646.15000000002"/>
    <x v="1"/>
    <s v="Pune"/>
    <x v="0"/>
    <s v="UPI"/>
    <s v="Cancelled"/>
  </r>
  <r>
    <s v="ORD1095"/>
    <x v="72"/>
    <s v="CUST106"/>
    <x v="16"/>
    <s v="Ananya Patil"/>
    <x v="3"/>
    <x v="2"/>
    <n v="4"/>
    <n v="896.17"/>
    <n v="3584.68"/>
    <n v="3584.68"/>
    <x v="3"/>
    <s v="Aurangabad"/>
    <x v="2"/>
    <s v="Cash"/>
    <s v="Completed"/>
  </r>
  <r>
    <s v="ORD1096"/>
    <x v="79"/>
    <s v="CUST119"/>
    <x v="16"/>
    <s v="Ananya Patil"/>
    <x v="5"/>
    <x v="3"/>
    <n v="1"/>
    <n v="882.13"/>
    <n v="882.13"/>
    <n v="882.13"/>
    <x v="0"/>
    <s v="Nashik"/>
    <x v="1"/>
    <s v="Credit Card"/>
    <s v="Cancelled"/>
  </r>
  <r>
    <s v="ORD1097"/>
    <x v="80"/>
    <s v="CUST118"/>
    <x v="2"/>
    <s v="Riya Desai"/>
    <x v="3"/>
    <x v="2"/>
    <n v="1"/>
    <n v="988.91"/>
    <n v="988.91"/>
    <n v="988.91"/>
    <x v="2"/>
    <s v="Nagpur"/>
    <x v="3"/>
    <s v="Net Banking"/>
    <s v="Completed"/>
  </r>
  <r>
    <s v="ORD1098"/>
    <x v="81"/>
    <s v="CUST114"/>
    <x v="17"/>
    <s v="Pooja Chavan"/>
    <x v="14"/>
    <x v="4"/>
    <n v="4"/>
    <n v="6236.56"/>
    <n v="24946.240000000002"/>
    <n v="24946.240000000002"/>
    <x v="6"/>
    <s v="Mumbai"/>
    <x v="3"/>
    <s v="Net Banking"/>
    <s v="Returned"/>
  </r>
  <r>
    <s v="ORD1099"/>
    <x v="30"/>
    <s v="CUST103"/>
    <x v="18"/>
    <s v="Priya Shah"/>
    <x v="11"/>
    <x v="2"/>
    <n v="2"/>
    <n v="28702.880000000001"/>
    <n v="57405.760000000002"/>
    <n v="57405.760000000002"/>
    <x v="2"/>
    <s v="Nagpur"/>
    <x v="1"/>
    <s v="Credit Card"/>
    <s v="Cancelled"/>
  </r>
  <r>
    <s v="ORD1100"/>
    <x v="82"/>
    <s v="CUST120"/>
    <x v="13"/>
    <s v="Mansi Kulkarni"/>
    <x v="11"/>
    <x v="2"/>
    <n v="2"/>
    <n v="25214.98"/>
    <n v="50429.96"/>
    <n v="50429.96"/>
    <x v="3"/>
    <s v="Aurangabad"/>
    <x v="0"/>
    <s v="UPI"/>
    <s v="Completed"/>
  </r>
  <r>
    <s v="ORD1101"/>
    <x v="76"/>
    <s v="CUST103"/>
    <x v="0"/>
    <s v="Neha Pawar"/>
    <x v="3"/>
    <x v="2"/>
    <n v="3"/>
    <n v="936.54"/>
    <n v="2809.62"/>
    <n v="2809.62"/>
    <x v="3"/>
    <s v="Aurangabad"/>
    <x v="3"/>
    <s v="Net Banking"/>
    <s v="Returned"/>
  </r>
  <r>
    <s v="ORD1102"/>
    <x v="83"/>
    <s v="CUST108"/>
    <x v="19"/>
    <s v="Vivek Joshi"/>
    <x v="4"/>
    <x v="3"/>
    <n v="2"/>
    <n v="3152.09"/>
    <n v="6304.18"/>
    <n v="6304.18"/>
    <x v="3"/>
    <s v="Aurangabad"/>
    <x v="1"/>
    <s v="Credit Card"/>
    <s v="Completed"/>
  </r>
  <r>
    <s v="ORD1103"/>
    <x v="84"/>
    <s v="CUST119"/>
    <x v="17"/>
    <s v="Pooja Chavan"/>
    <x v="13"/>
    <x v="2"/>
    <n v="2"/>
    <n v="47633.66"/>
    <n v="95267.32"/>
    <n v="95267.32"/>
    <x v="7"/>
    <s v="Kolhapur"/>
    <x v="0"/>
    <s v="UPI"/>
    <s v="Completed"/>
  </r>
  <r>
    <s v="ORD1104"/>
    <x v="11"/>
    <s v="CUST109"/>
    <x v="10"/>
    <s v="Nikhil Pawar"/>
    <x v="1"/>
    <x v="0"/>
    <n v="3"/>
    <n v="727.96"/>
    <n v="2183.88"/>
    <n v="2183.88"/>
    <x v="7"/>
    <s v="Kolhapur"/>
    <x v="2"/>
    <s v="Cash"/>
    <s v="Completed"/>
  </r>
  <r>
    <s v="ORD1105"/>
    <x v="85"/>
    <s v="CUST111"/>
    <x v="11"/>
    <s v="Tanvi Shah"/>
    <x v="9"/>
    <x v="1"/>
    <n v="1"/>
    <n v="269.47000000000003"/>
    <n v="269.47000000000003"/>
    <n v="269.47000000000003"/>
    <x v="3"/>
    <s v="Aurangabad"/>
    <x v="0"/>
    <s v="UPI"/>
    <s v="Completed"/>
  </r>
  <r>
    <s v="ORD1106"/>
    <x v="62"/>
    <s v="CUST109"/>
    <x v="15"/>
    <s v="Omkar More"/>
    <x v="6"/>
    <x v="2"/>
    <n v="5"/>
    <n v="1831.36"/>
    <n v="9156.7999999999993"/>
    <n v="9156.7999999999993"/>
    <x v="6"/>
    <s v="Mumbai"/>
    <x v="1"/>
    <s v="Credit Card"/>
    <s v="Completed"/>
  </r>
  <r>
    <s v="ORD1107"/>
    <x v="65"/>
    <s v="CUST119"/>
    <x v="2"/>
    <s v="Riya Desai"/>
    <x v="2"/>
    <x v="1"/>
    <n v="4"/>
    <n v="129.99"/>
    <n v="519.96"/>
    <n v="519.96"/>
    <x v="7"/>
    <s v="Kolhapur"/>
    <x v="0"/>
    <s v="UPI"/>
    <s v="Completed"/>
  </r>
  <r>
    <s v="ORD1108"/>
    <x v="86"/>
    <s v="CUST104"/>
    <x v="18"/>
    <s v="Priya Shah"/>
    <x v="10"/>
    <x v="4"/>
    <n v="4"/>
    <n v="8216.6200000000008"/>
    <n v="32866.480000000003"/>
    <n v="32866.480000000003"/>
    <x v="4"/>
    <s v="Thane"/>
    <x v="2"/>
    <s v="Cash"/>
    <s v="Returned"/>
  </r>
  <r>
    <s v="ORD1109"/>
    <x v="87"/>
    <s v="CUST118"/>
    <x v="16"/>
    <s v="Ananya Patil"/>
    <x v="14"/>
    <x v="4"/>
    <n v="3"/>
    <n v="6711.36"/>
    <n v="20134.080000000002"/>
    <n v="20134.079999999998"/>
    <x v="7"/>
    <s v="Kolhapur"/>
    <x v="0"/>
    <s v="UPI"/>
    <s v="Completed"/>
  </r>
  <r>
    <s v="ORD1110"/>
    <x v="88"/>
    <s v="CUST113"/>
    <x v="10"/>
    <s v="Nikhil Pawar"/>
    <x v="3"/>
    <x v="2"/>
    <n v="3"/>
    <n v="830.87"/>
    <n v="2492.61"/>
    <n v="2492.61"/>
    <x v="6"/>
    <s v="Mumbai"/>
    <x v="3"/>
    <s v="Net Banking"/>
    <s v="Completed"/>
  </r>
  <r>
    <s v="ORD1111"/>
    <x v="6"/>
    <s v="CUST120"/>
    <x v="13"/>
    <s v="Mansi Kulkarni"/>
    <x v="12"/>
    <x v="4"/>
    <n v="1"/>
    <n v="11250.2"/>
    <n v="11250.2"/>
    <n v="11250.2"/>
    <x v="7"/>
    <s v="Kolhapur"/>
    <x v="0"/>
    <s v="UPI"/>
    <s v="Completed"/>
  </r>
  <r>
    <s v="ORD1112"/>
    <x v="89"/>
    <s v="CUST115"/>
    <x v="13"/>
    <s v="Mansi Kulkarni"/>
    <x v="3"/>
    <x v="2"/>
    <n v="5"/>
    <n v="833.58"/>
    <n v="4167.8999999999996"/>
    <n v="4167.9000000000005"/>
    <x v="1"/>
    <s v="Pune"/>
    <x v="0"/>
    <s v="UPI"/>
    <s v="Returned"/>
  </r>
  <r>
    <s v="ORD1113"/>
    <x v="90"/>
    <s v="CUST118"/>
    <x v="1"/>
    <s v="Aarav Sharma"/>
    <x v="9"/>
    <x v="1"/>
    <n v="2"/>
    <n v="260.49"/>
    <n v="520.98"/>
    <n v="520.98"/>
    <x v="5"/>
    <s v="Navi Mumbai"/>
    <x v="0"/>
    <s v="UPI"/>
    <s v="Completed"/>
  </r>
  <r>
    <s v="ORD1114"/>
    <x v="80"/>
    <s v="CUST105"/>
    <x v="13"/>
    <s v="Mansi Kulkarni"/>
    <x v="5"/>
    <x v="3"/>
    <n v="1"/>
    <n v="893.06"/>
    <n v="893.06"/>
    <n v="893.06"/>
    <x v="3"/>
    <s v="Aurangabad"/>
    <x v="3"/>
    <s v="Net Banking"/>
    <s v="Returned"/>
  </r>
  <r>
    <s v="ORD1115"/>
    <x v="91"/>
    <s v="CUST108"/>
    <x v="20"/>
    <s v="Akash Shinde"/>
    <x v="3"/>
    <x v="2"/>
    <n v="4"/>
    <n v="960.25"/>
    <n v="3841"/>
    <n v="3841"/>
    <x v="0"/>
    <s v="Nashik"/>
    <x v="2"/>
    <s v="Cash"/>
    <s v="Completed"/>
  </r>
  <r>
    <s v="ORD1116"/>
    <x v="37"/>
    <s v="CUST105"/>
    <x v="14"/>
    <s v="Rohan Deshmukh"/>
    <x v="8"/>
    <x v="3"/>
    <n v="5"/>
    <n v="2203.63"/>
    <n v="11018.15"/>
    <n v="11018.150000000001"/>
    <x v="3"/>
    <s v="Aurangabad"/>
    <x v="2"/>
    <s v="Cash"/>
    <s v="Completed"/>
  </r>
  <r>
    <s v="ORD1117"/>
    <x v="15"/>
    <s v="CUST110"/>
    <x v="17"/>
    <s v="Pooja Chavan"/>
    <x v="8"/>
    <x v="3"/>
    <n v="5"/>
    <n v="2097.56"/>
    <n v="10487.8"/>
    <n v="10487.8"/>
    <x v="7"/>
    <s v="Kolhapur"/>
    <x v="1"/>
    <s v="Credit Card"/>
    <s v="Completed"/>
  </r>
  <r>
    <s v="ORD1118"/>
    <x v="14"/>
    <s v="CUST118"/>
    <x v="5"/>
    <s v="Siddharth Patil"/>
    <x v="2"/>
    <x v="1"/>
    <n v="4"/>
    <n v="116.28"/>
    <n v="465.12"/>
    <n v="465.12"/>
    <x v="7"/>
    <s v="Kolhapur"/>
    <x v="4"/>
    <s v="Debit Card"/>
    <s v="Completed"/>
  </r>
  <r>
    <s v="ORD1119"/>
    <x v="92"/>
    <s v="CUST114"/>
    <x v="16"/>
    <s v="Ananya Patil"/>
    <x v="1"/>
    <x v="0"/>
    <n v="2"/>
    <n v="710.05"/>
    <n v="1420.1"/>
    <n v="1420.1"/>
    <x v="4"/>
    <s v="Thane"/>
    <x v="2"/>
    <s v="Cash"/>
    <s v="Returned"/>
  </r>
  <r>
    <s v="ORD1120"/>
    <x v="51"/>
    <s v="CUST105"/>
    <x v="13"/>
    <s v="Mansi Kulkarni"/>
    <x v="8"/>
    <x v="3"/>
    <n v="4"/>
    <n v="2149.87"/>
    <n v="8599.48"/>
    <n v="8599.48"/>
    <x v="6"/>
    <s v="Mumbai"/>
    <x v="1"/>
    <s v="Credit Card"/>
    <s v="Cancelled"/>
  </r>
  <r>
    <s v="ORD1121"/>
    <x v="93"/>
    <s v="CUST115"/>
    <x v="12"/>
    <s v="Sneha Kulkarni"/>
    <x v="9"/>
    <x v="1"/>
    <n v="3"/>
    <n v="268.49"/>
    <n v="805.47"/>
    <n v="805.47"/>
    <x v="7"/>
    <s v="Kolhapur"/>
    <x v="0"/>
    <s v="UPI"/>
    <s v="Returned"/>
  </r>
  <r>
    <s v="ORD1122"/>
    <x v="94"/>
    <s v="CUST103"/>
    <x v="13"/>
    <s v="Mansi Kulkarni"/>
    <x v="7"/>
    <x v="2"/>
    <n v="4"/>
    <n v="2685.47"/>
    <n v="10741.88"/>
    <n v="10741.88"/>
    <x v="3"/>
    <s v="Aurangabad"/>
    <x v="4"/>
    <s v="Debit Card"/>
    <s v="Cancelled"/>
  </r>
  <r>
    <s v="ORD1123"/>
    <x v="7"/>
    <s v="CUST111"/>
    <x v="9"/>
    <s v="Kavya Joshi"/>
    <x v="1"/>
    <x v="0"/>
    <n v="4"/>
    <n v="720.98"/>
    <n v="2883.92"/>
    <n v="2883.92"/>
    <x v="5"/>
    <s v="Navi Mumbai"/>
    <x v="4"/>
    <s v="Debit Card"/>
    <s v="Returned"/>
  </r>
  <r>
    <s v="ORD1124"/>
    <x v="47"/>
    <s v="CUST120"/>
    <x v="14"/>
    <s v="Rohan Deshmukh"/>
    <x v="1"/>
    <x v="0"/>
    <n v="4"/>
    <n v="752.13"/>
    <n v="3008.52"/>
    <n v="3008.52"/>
    <x v="2"/>
    <s v="Nagpur"/>
    <x v="4"/>
    <s v="Debit Card"/>
    <s v="Completed"/>
  </r>
  <r>
    <s v="ORD1125"/>
    <x v="95"/>
    <s v="CUST104"/>
    <x v="20"/>
    <s v="Akash Shinde"/>
    <x v="1"/>
    <x v="0"/>
    <n v="1"/>
    <n v="690.76"/>
    <n v="690.76"/>
    <n v="690.76"/>
    <x v="0"/>
    <s v="Nashik"/>
    <x v="4"/>
    <s v="Debit Card"/>
    <s v="Completed"/>
  </r>
  <r>
    <s v="ORD1126"/>
    <x v="31"/>
    <s v="CUST112"/>
    <x v="4"/>
    <s v="Isha Gupta"/>
    <x v="13"/>
    <x v="2"/>
    <n v="3"/>
    <n v="47665.29"/>
    <n v="142995.87"/>
    <n v="142995.87"/>
    <x v="5"/>
    <s v="Navi Mumbai"/>
    <x v="1"/>
    <s v="Credit Card"/>
    <s v="Completed"/>
  </r>
  <r>
    <s v="ORD1127"/>
    <x v="96"/>
    <s v="CUST106"/>
    <x v="18"/>
    <s v="Priya Shah"/>
    <x v="2"/>
    <x v="1"/>
    <n v="4"/>
    <n v="121.58"/>
    <n v="486.32"/>
    <n v="486.32"/>
    <x v="0"/>
    <s v="Nashik"/>
    <x v="0"/>
    <s v="UPI"/>
    <s v="Cancelled"/>
  </r>
  <r>
    <s v="ORD1128"/>
    <x v="18"/>
    <s v="CUST116"/>
    <x v="15"/>
    <s v="Omkar More"/>
    <x v="5"/>
    <x v="3"/>
    <n v="4"/>
    <n v="921.55"/>
    <n v="3686.2"/>
    <n v="3686.2"/>
    <x v="0"/>
    <s v="Nashik"/>
    <x v="1"/>
    <s v="Credit Card"/>
    <s v="Completed"/>
  </r>
  <r>
    <s v="ORD1129"/>
    <x v="97"/>
    <s v="CUST101"/>
    <x v="20"/>
    <s v="Akash Shinde"/>
    <x v="0"/>
    <x v="0"/>
    <n v="3"/>
    <n v="1785.45"/>
    <n v="5356.35"/>
    <n v="5356.35"/>
    <x v="3"/>
    <s v="Aurangabad"/>
    <x v="3"/>
    <s v="Net Banking"/>
    <s v="Completed"/>
  </r>
  <r>
    <s v="ORD1130"/>
    <x v="81"/>
    <s v="CUST110"/>
    <x v="2"/>
    <s v="Riya Desai"/>
    <x v="11"/>
    <x v="2"/>
    <n v="4"/>
    <n v="30493.32"/>
    <n v="121973.28"/>
    <n v="121973.28"/>
    <x v="3"/>
    <s v="Aurangabad"/>
    <x v="2"/>
    <s v="Cash"/>
    <s v="Completed"/>
  </r>
  <r>
    <s v="ORD1131"/>
    <x v="98"/>
    <s v="CUST108"/>
    <x v="5"/>
    <s v="Siddharth Patil"/>
    <x v="6"/>
    <x v="2"/>
    <n v="4"/>
    <n v="1927.2"/>
    <n v="7708.8"/>
    <n v="7708.8"/>
    <x v="4"/>
    <s v="Thane"/>
    <x v="3"/>
    <s v="Net Banking"/>
    <s v="Completed"/>
  </r>
  <r>
    <s v="ORD1132"/>
    <x v="69"/>
    <s v="CUST113"/>
    <x v="8"/>
    <s v="Rahul Jadhav"/>
    <x v="1"/>
    <x v="0"/>
    <n v="3"/>
    <n v="633.07000000000005"/>
    <n v="1899.21"/>
    <n v="1899.21"/>
    <x v="6"/>
    <s v="Mumbai"/>
    <x v="3"/>
    <s v="Net Banking"/>
    <s v="Returned"/>
  </r>
  <r>
    <s v="ORD1133"/>
    <x v="39"/>
    <s v="CUST116"/>
    <x v="17"/>
    <s v="Pooja Chavan"/>
    <x v="4"/>
    <x v="3"/>
    <n v="1"/>
    <n v="3462.79"/>
    <n v="3462.79"/>
    <n v="3462.79"/>
    <x v="2"/>
    <s v="Nagpur"/>
    <x v="3"/>
    <s v="Net Banking"/>
    <s v="Completed"/>
  </r>
  <r>
    <s v="ORD1134"/>
    <x v="99"/>
    <s v="CUST105"/>
    <x v="12"/>
    <s v="Sneha Kulkarni"/>
    <x v="6"/>
    <x v="2"/>
    <n v="2"/>
    <n v="1843.52"/>
    <n v="3687.04"/>
    <n v="3687.04"/>
    <x v="6"/>
    <s v="Mumbai"/>
    <x v="4"/>
    <s v="Debit Card"/>
    <s v="Completed"/>
  </r>
  <r>
    <s v="ORD1135"/>
    <x v="24"/>
    <s v="CUST103"/>
    <x v="17"/>
    <s v="Pooja Chavan"/>
    <x v="13"/>
    <x v="2"/>
    <n v="5"/>
    <n v="43783.75"/>
    <n v="218918.75"/>
    <n v="218918.75"/>
    <x v="4"/>
    <s v="Thane"/>
    <x v="2"/>
    <s v="Cash"/>
    <s v="Completed"/>
  </r>
  <r>
    <s v="ORD1136"/>
    <x v="100"/>
    <s v="CUST112"/>
    <x v="10"/>
    <s v="Nikhil Pawar"/>
    <x v="6"/>
    <x v="2"/>
    <n v="2"/>
    <n v="1903.14"/>
    <n v="3806.28"/>
    <n v="3806.28"/>
    <x v="3"/>
    <s v="Aurangabad"/>
    <x v="1"/>
    <s v="Credit Card"/>
    <s v="Completed"/>
  </r>
  <r>
    <s v="ORD1137"/>
    <x v="31"/>
    <s v="CUST111"/>
    <x v="12"/>
    <s v="Sneha Kulkarni"/>
    <x v="8"/>
    <x v="3"/>
    <n v="4"/>
    <n v="2405.65"/>
    <n v="9622.6"/>
    <n v="9622.6"/>
    <x v="7"/>
    <s v="Kolhapur"/>
    <x v="0"/>
    <s v="UPI"/>
    <s v="Completed"/>
  </r>
  <r>
    <s v="ORD1138"/>
    <x v="101"/>
    <s v="CUST113"/>
    <x v="9"/>
    <s v="Kavya Joshi"/>
    <x v="4"/>
    <x v="3"/>
    <n v="2"/>
    <n v="3430.49"/>
    <n v="6860.98"/>
    <n v="6860.98"/>
    <x v="4"/>
    <s v="Thane"/>
    <x v="0"/>
    <s v="UPI"/>
    <s v="Completed"/>
  </r>
  <r>
    <s v="ORD1139"/>
    <x v="76"/>
    <s v="CUST112"/>
    <x v="8"/>
    <s v="Rahul Jadhav"/>
    <x v="13"/>
    <x v="2"/>
    <n v="3"/>
    <n v="45329.15"/>
    <n v="135987.45000000001"/>
    <n v="135987.45000000001"/>
    <x v="5"/>
    <s v="Navi Mumbai"/>
    <x v="4"/>
    <s v="Debit Card"/>
    <s v="Completed"/>
  </r>
  <r>
    <s v="ORD1140"/>
    <x v="102"/>
    <s v="CUST118"/>
    <x v="3"/>
    <s v="Karan Mehta"/>
    <x v="0"/>
    <x v="0"/>
    <n v="2"/>
    <n v="1789.73"/>
    <n v="3579.46"/>
    <n v="3579.46"/>
    <x v="2"/>
    <s v="Nagpur"/>
    <x v="0"/>
    <s v="UPI"/>
    <s v="Returned"/>
  </r>
  <r>
    <s v="ORD1141"/>
    <x v="78"/>
    <s v="CUST114"/>
    <x v="12"/>
    <s v="Sneha Kulkarni"/>
    <x v="5"/>
    <x v="3"/>
    <n v="4"/>
    <n v="973.69"/>
    <n v="3894.76"/>
    <n v="3894.76"/>
    <x v="0"/>
    <s v="Nashik"/>
    <x v="0"/>
    <s v="UPI"/>
    <s v="Completed"/>
  </r>
  <r>
    <s v="ORD1142"/>
    <x v="103"/>
    <s v="CUST118"/>
    <x v="19"/>
    <s v="Vivek Joshi"/>
    <x v="3"/>
    <x v="2"/>
    <n v="4"/>
    <n v="830.9"/>
    <n v="3323.6"/>
    <n v="3323.6"/>
    <x v="5"/>
    <s v="Navi Mumbai"/>
    <x v="2"/>
    <s v="Cash"/>
    <s v="Completed"/>
  </r>
  <r>
    <s v="ORD1143"/>
    <x v="39"/>
    <s v="CUST105"/>
    <x v="2"/>
    <s v="Riya Desai"/>
    <x v="0"/>
    <x v="0"/>
    <n v="5"/>
    <n v="1770.89"/>
    <n v="8854.4500000000007"/>
    <n v="8854.4500000000007"/>
    <x v="1"/>
    <s v="Pune"/>
    <x v="2"/>
    <s v="Cash"/>
    <s v="Cancelled"/>
  </r>
  <r>
    <s v="ORD1144"/>
    <x v="75"/>
    <s v="CUST107"/>
    <x v="20"/>
    <s v="Akash Shinde"/>
    <x v="12"/>
    <x v="4"/>
    <n v="3"/>
    <n v="10878.52"/>
    <n v="32635.56"/>
    <n v="32635.56"/>
    <x v="7"/>
    <s v="Kolhapur"/>
    <x v="1"/>
    <s v="Credit Card"/>
    <s v="Completed"/>
  </r>
  <r>
    <s v="ORD1145"/>
    <x v="26"/>
    <s v="CUST112"/>
    <x v="16"/>
    <s v="Ananya Patil"/>
    <x v="11"/>
    <x v="2"/>
    <n v="3"/>
    <n v="28249.01"/>
    <n v="84747.03"/>
    <n v="84747.03"/>
    <x v="5"/>
    <s v="Navi Mumbai"/>
    <x v="4"/>
    <s v="Debit Card"/>
    <s v="Completed"/>
  </r>
  <r>
    <s v="ORD1146"/>
    <x v="20"/>
    <s v="CUST120"/>
    <x v="1"/>
    <s v="Aarav Sharma"/>
    <x v="11"/>
    <x v="2"/>
    <n v="4"/>
    <n v="25713.37"/>
    <n v="102853.48"/>
    <n v="102853.48"/>
    <x v="6"/>
    <s v="Mumbai"/>
    <x v="4"/>
    <s v="Debit Card"/>
    <s v="Completed"/>
  </r>
  <r>
    <s v="ORD1147"/>
    <x v="69"/>
    <s v="CUST118"/>
    <x v="6"/>
    <s v="Aditya More"/>
    <x v="7"/>
    <x v="2"/>
    <n v="5"/>
    <n v="2352.6"/>
    <n v="11763"/>
    <n v="11763"/>
    <x v="2"/>
    <s v="Nagpur"/>
    <x v="1"/>
    <s v="Credit Card"/>
    <s v="Completed"/>
  </r>
  <r>
    <s v="ORD1148"/>
    <x v="84"/>
    <s v="CUST101"/>
    <x v="8"/>
    <s v="Rahul Jadhav"/>
    <x v="4"/>
    <x v="3"/>
    <n v="2"/>
    <n v="3384.73"/>
    <n v="6769.46"/>
    <n v="6769.46"/>
    <x v="0"/>
    <s v="Nashik"/>
    <x v="1"/>
    <s v="Credit Card"/>
    <s v="Cancelled"/>
  </r>
  <r>
    <s v="ORD1149"/>
    <x v="104"/>
    <s v="CUST101"/>
    <x v="19"/>
    <s v="Vivek Joshi"/>
    <x v="3"/>
    <x v="2"/>
    <n v="2"/>
    <n v="829.79"/>
    <n v="1659.58"/>
    <n v="1659.58"/>
    <x v="6"/>
    <s v="Mumbai"/>
    <x v="4"/>
    <s v="Debit Card"/>
    <s v="Completed"/>
  </r>
  <r>
    <s v="ORD1150"/>
    <x v="30"/>
    <s v="CUST102"/>
    <x v="19"/>
    <s v="Vivek Joshi"/>
    <x v="9"/>
    <x v="1"/>
    <n v="3"/>
    <n v="225.79"/>
    <n v="677.37"/>
    <n v="677.37"/>
    <x v="5"/>
    <s v="Navi Mumbai"/>
    <x v="3"/>
    <s v="Net Banking"/>
    <s v="Completed"/>
  </r>
  <r>
    <s v="ORD1151"/>
    <x v="105"/>
    <s v="CUST112"/>
    <x v="10"/>
    <s v="Nikhil Pawar"/>
    <x v="1"/>
    <x v="0"/>
    <n v="1"/>
    <n v="696.67"/>
    <n v="696.67"/>
    <n v="696.67"/>
    <x v="1"/>
    <s v="Pune"/>
    <x v="2"/>
    <s v="Cash"/>
    <s v="Cancelled"/>
  </r>
  <r>
    <s v="ORD1152"/>
    <x v="106"/>
    <s v="CUST117"/>
    <x v="17"/>
    <s v="Pooja Chavan"/>
    <x v="6"/>
    <x v="2"/>
    <n v="5"/>
    <n v="1635.61"/>
    <n v="8178.05"/>
    <n v="8178.0499999999993"/>
    <x v="7"/>
    <s v="Kolhapur"/>
    <x v="0"/>
    <s v="UPI"/>
    <s v="Completed"/>
  </r>
  <r>
    <s v="ORD1153"/>
    <x v="98"/>
    <s v="CUST116"/>
    <x v="20"/>
    <s v="Akash Shinde"/>
    <x v="14"/>
    <x v="4"/>
    <n v="4"/>
    <n v="6404.16"/>
    <n v="25616.639999999999"/>
    <n v="25616.639999999999"/>
    <x v="1"/>
    <s v="Pune"/>
    <x v="0"/>
    <s v="UPI"/>
    <s v="Completed"/>
  </r>
  <r>
    <s v="ORD1154"/>
    <x v="0"/>
    <s v="CUST120"/>
    <x v="15"/>
    <s v="Omkar More"/>
    <x v="9"/>
    <x v="1"/>
    <n v="2"/>
    <n v="228.28"/>
    <n v="456.56"/>
    <n v="456.56"/>
    <x v="4"/>
    <s v="Thane"/>
    <x v="2"/>
    <s v="Cash"/>
    <s v="Cancelled"/>
  </r>
  <r>
    <s v="ORD1155"/>
    <x v="107"/>
    <s v="CUST114"/>
    <x v="12"/>
    <s v="Sneha Kulkarni"/>
    <x v="2"/>
    <x v="1"/>
    <n v="3"/>
    <n v="118.89"/>
    <n v="356.67"/>
    <n v="356.67"/>
    <x v="1"/>
    <s v="Pune"/>
    <x v="3"/>
    <s v="Net Banking"/>
    <s v="Returned"/>
  </r>
  <r>
    <s v="ORD1156"/>
    <x v="108"/>
    <s v="CUST108"/>
    <x v="2"/>
    <s v="Riya Desai"/>
    <x v="5"/>
    <x v="3"/>
    <n v="2"/>
    <n v="887.41"/>
    <n v="1774.82"/>
    <n v="1774.82"/>
    <x v="4"/>
    <s v="Thane"/>
    <x v="2"/>
    <s v="Cash"/>
    <s v="Completed"/>
  </r>
  <r>
    <s v="ORD1157"/>
    <x v="109"/>
    <s v="CUST109"/>
    <x v="4"/>
    <s v="Isha Gupta"/>
    <x v="12"/>
    <x v="4"/>
    <n v="1"/>
    <n v="11550.12"/>
    <n v="11550.12"/>
    <n v="11550.12"/>
    <x v="0"/>
    <s v="Nashik"/>
    <x v="2"/>
    <s v="Cash"/>
    <s v="Completed"/>
  </r>
  <r>
    <s v="ORD1158"/>
    <x v="25"/>
    <s v="CUST112"/>
    <x v="19"/>
    <s v="Vivek Joshi"/>
    <x v="11"/>
    <x v="2"/>
    <n v="1"/>
    <n v="25722.09"/>
    <n v="25722.09"/>
    <n v="25722.09"/>
    <x v="6"/>
    <s v="Mumbai"/>
    <x v="3"/>
    <s v="Net Banking"/>
    <s v="Cancelled"/>
  </r>
  <r>
    <s v="ORD1159"/>
    <x v="110"/>
    <s v="CUST112"/>
    <x v="2"/>
    <s v="Riya Desai"/>
    <x v="2"/>
    <x v="1"/>
    <n v="3"/>
    <n v="124.08"/>
    <n v="372.24"/>
    <n v="372.24"/>
    <x v="6"/>
    <s v="Mumbai"/>
    <x v="4"/>
    <s v="Debit Card"/>
    <s v="Cancelled"/>
  </r>
  <r>
    <s v="ORD1160"/>
    <x v="16"/>
    <s v="CUST107"/>
    <x v="19"/>
    <s v="Vivek Joshi"/>
    <x v="3"/>
    <x v="2"/>
    <n v="3"/>
    <n v="828.65"/>
    <n v="2485.9499999999998"/>
    <n v="2485.9499999999998"/>
    <x v="7"/>
    <s v="Kolhapur"/>
    <x v="1"/>
    <s v="Credit Card"/>
    <s v="Completed"/>
  </r>
  <r>
    <s v="ORD1161"/>
    <x v="111"/>
    <s v="CUST109"/>
    <x v="15"/>
    <s v="Omkar More"/>
    <x v="10"/>
    <x v="4"/>
    <n v="5"/>
    <n v="8274.85"/>
    <n v="41374.25"/>
    <n v="41374.25"/>
    <x v="2"/>
    <s v="Nagpur"/>
    <x v="2"/>
    <s v="Cash"/>
    <s v="Cancelled"/>
  </r>
  <r>
    <s v="ORD1162"/>
    <x v="112"/>
    <s v="CUST118"/>
    <x v="1"/>
    <s v="Aarav Sharma"/>
    <x v="4"/>
    <x v="3"/>
    <n v="5"/>
    <n v="3272.69"/>
    <n v="16363.45"/>
    <n v="16363.45"/>
    <x v="3"/>
    <s v="Aurangabad"/>
    <x v="0"/>
    <s v="UPI"/>
    <s v="Completed"/>
  </r>
  <r>
    <s v="ORD1163"/>
    <x v="113"/>
    <s v="CUST101"/>
    <x v="18"/>
    <s v="Priya Shah"/>
    <x v="3"/>
    <x v="2"/>
    <n v="3"/>
    <n v="975.88"/>
    <n v="2927.64"/>
    <n v="2927.64"/>
    <x v="0"/>
    <s v="Nashik"/>
    <x v="3"/>
    <s v="Net Banking"/>
    <s v="Returned"/>
  </r>
  <r>
    <s v="ORD1164"/>
    <x v="40"/>
    <s v="CUST101"/>
    <x v="14"/>
    <s v="Rohan Deshmukh"/>
    <x v="12"/>
    <x v="4"/>
    <n v="1"/>
    <n v="11140.5"/>
    <n v="11140.5"/>
    <n v="11140.5"/>
    <x v="2"/>
    <s v="Nagpur"/>
    <x v="2"/>
    <s v="Cash"/>
    <s v="Completed"/>
  </r>
  <r>
    <s v="ORD1165"/>
    <x v="90"/>
    <s v="CUST111"/>
    <x v="15"/>
    <s v="Omkar More"/>
    <x v="14"/>
    <x v="4"/>
    <n v="3"/>
    <n v="6054.63"/>
    <n v="18163.89"/>
    <n v="18163.89"/>
    <x v="1"/>
    <s v="Pune"/>
    <x v="0"/>
    <s v="UPI"/>
    <s v="Completed"/>
  </r>
  <r>
    <s v="ORD1166"/>
    <x v="34"/>
    <s v="CUST109"/>
    <x v="20"/>
    <s v="Akash Shinde"/>
    <x v="7"/>
    <x v="2"/>
    <n v="5"/>
    <n v="2274.88"/>
    <n v="11374.4"/>
    <n v="11374.400000000001"/>
    <x v="5"/>
    <s v="Navi Mumbai"/>
    <x v="2"/>
    <s v="Cash"/>
    <s v="Cancelled"/>
  </r>
  <r>
    <s v="ORD1167"/>
    <x v="114"/>
    <s v="CUST117"/>
    <x v="12"/>
    <s v="Sneha Kulkarni"/>
    <x v="14"/>
    <x v="4"/>
    <n v="4"/>
    <n v="6205.12"/>
    <n v="24820.48"/>
    <n v="24820.48"/>
    <x v="4"/>
    <s v="Thane"/>
    <x v="2"/>
    <s v="Cash"/>
    <s v="Completed"/>
  </r>
  <r>
    <s v="ORD1168"/>
    <x v="97"/>
    <s v="CUST110"/>
    <x v="16"/>
    <s v="Ananya Patil"/>
    <x v="3"/>
    <x v="2"/>
    <n v="5"/>
    <n v="897.59"/>
    <n v="4487.95"/>
    <n v="4487.95"/>
    <x v="2"/>
    <s v="Nagpur"/>
    <x v="2"/>
    <s v="Cash"/>
    <s v="Cancelled"/>
  </r>
  <r>
    <s v="ORD1169"/>
    <x v="115"/>
    <s v="CUST107"/>
    <x v="19"/>
    <s v="Vivek Joshi"/>
    <x v="13"/>
    <x v="2"/>
    <n v="1"/>
    <n v="42339.81"/>
    <n v="42339.81"/>
    <n v="42339.81"/>
    <x v="3"/>
    <s v="Aurangabad"/>
    <x v="4"/>
    <s v="Debit Card"/>
    <s v="Completed"/>
  </r>
  <r>
    <s v="ORD1170"/>
    <x v="116"/>
    <s v="CUST106"/>
    <x v="19"/>
    <s v="Vivek Joshi"/>
    <x v="11"/>
    <x v="2"/>
    <n v="1"/>
    <n v="27985.360000000001"/>
    <n v="27985.360000000001"/>
    <n v="27985.360000000001"/>
    <x v="5"/>
    <s v="Navi Mumbai"/>
    <x v="3"/>
    <s v="Net Banking"/>
    <s v="Returned"/>
  </r>
  <r>
    <s v="ORD1171"/>
    <x v="86"/>
    <s v="CUST112"/>
    <x v="14"/>
    <s v="Rohan Deshmukh"/>
    <x v="6"/>
    <x v="2"/>
    <n v="5"/>
    <n v="1821.14"/>
    <n v="9105.7000000000007"/>
    <n v="9105.7000000000007"/>
    <x v="5"/>
    <s v="Navi Mumbai"/>
    <x v="0"/>
    <s v="UPI"/>
    <s v="Completed"/>
  </r>
  <r>
    <s v="ORD1172"/>
    <x v="28"/>
    <s v="CUST111"/>
    <x v="15"/>
    <s v="Omkar More"/>
    <x v="13"/>
    <x v="2"/>
    <n v="4"/>
    <n v="48790.46"/>
    <n v="195161.84"/>
    <n v="195161.84"/>
    <x v="5"/>
    <s v="Navi Mumbai"/>
    <x v="3"/>
    <s v="Net Banking"/>
    <s v="Completed"/>
  </r>
  <r>
    <s v="ORD1173"/>
    <x v="117"/>
    <s v="CUST101"/>
    <x v="3"/>
    <s v="Karan Mehta"/>
    <x v="1"/>
    <x v="0"/>
    <n v="4"/>
    <n v="670.53"/>
    <n v="2682.12"/>
    <n v="2682.12"/>
    <x v="0"/>
    <s v="Nashik"/>
    <x v="3"/>
    <s v="Net Banking"/>
    <s v="Completed"/>
  </r>
  <r>
    <s v="ORD1174"/>
    <x v="118"/>
    <s v="CUST104"/>
    <x v="0"/>
    <s v="Neha Pawar"/>
    <x v="5"/>
    <x v="3"/>
    <n v="3"/>
    <n v="825.86"/>
    <n v="2477.58"/>
    <n v="2477.58"/>
    <x v="5"/>
    <s v="Navi Mumbai"/>
    <x v="3"/>
    <s v="Net Banking"/>
    <s v="Completed"/>
  </r>
  <r>
    <s v="ORD1175"/>
    <x v="90"/>
    <s v="CUST111"/>
    <x v="0"/>
    <s v="Neha Pawar"/>
    <x v="2"/>
    <x v="1"/>
    <n v="1"/>
    <n v="117.5"/>
    <n v="117.5"/>
    <n v="117.5"/>
    <x v="4"/>
    <s v="Thane"/>
    <x v="1"/>
    <s v="Credit Card"/>
    <s v="Completed"/>
  </r>
  <r>
    <s v="ORD1176"/>
    <x v="52"/>
    <s v="CUST112"/>
    <x v="4"/>
    <s v="Isha Gupta"/>
    <x v="2"/>
    <x v="1"/>
    <n v="1"/>
    <n v="120.73"/>
    <n v="120.73"/>
    <n v="120.73"/>
    <x v="0"/>
    <s v="Nashik"/>
    <x v="1"/>
    <s v="Credit Card"/>
    <s v="Completed"/>
  </r>
  <r>
    <s v="ORD1177"/>
    <x v="107"/>
    <s v="CUST105"/>
    <x v="14"/>
    <s v="Rohan Deshmukh"/>
    <x v="7"/>
    <x v="2"/>
    <n v="3"/>
    <n v="2348.64"/>
    <n v="7045.92"/>
    <n v="7045.92"/>
    <x v="0"/>
    <s v="Nashik"/>
    <x v="2"/>
    <s v="Cash"/>
    <s v="Completed"/>
  </r>
  <r>
    <s v="ORD1178"/>
    <x v="27"/>
    <s v="CUST119"/>
    <x v="11"/>
    <s v="Tanvi Shah"/>
    <x v="4"/>
    <x v="3"/>
    <n v="5"/>
    <n v="3366.32"/>
    <n v="16831.599999999999"/>
    <n v="16831.600000000002"/>
    <x v="4"/>
    <s v="Thane"/>
    <x v="4"/>
    <s v="Debit Card"/>
    <s v="Completed"/>
  </r>
  <r>
    <s v="ORD1179"/>
    <x v="119"/>
    <s v="CUST110"/>
    <x v="8"/>
    <s v="Rahul Jadhav"/>
    <x v="14"/>
    <x v="4"/>
    <n v="1"/>
    <n v="6459.6"/>
    <n v="6459.6"/>
    <n v="6459.6"/>
    <x v="6"/>
    <s v="Mumbai"/>
    <x v="4"/>
    <s v="Debit Card"/>
    <s v="Cancelled"/>
  </r>
  <r>
    <s v="ORD1180"/>
    <x v="47"/>
    <s v="CUST102"/>
    <x v="4"/>
    <s v="Isha Gupta"/>
    <x v="11"/>
    <x v="2"/>
    <n v="3"/>
    <n v="27785.759999999998"/>
    <n v="83357.279999999999"/>
    <n v="83357.279999999999"/>
    <x v="3"/>
    <s v="Aurangabad"/>
    <x v="0"/>
    <s v="UPI"/>
    <s v="Returned"/>
  </r>
  <r>
    <s v="ORD1181"/>
    <x v="16"/>
    <s v="CUST113"/>
    <x v="20"/>
    <s v="Akash Shinde"/>
    <x v="5"/>
    <x v="3"/>
    <n v="1"/>
    <n v="920.7"/>
    <n v="920.7"/>
    <n v="920.7"/>
    <x v="6"/>
    <s v="Mumbai"/>
    <x v="2"/>
    <s v="Cash"/>
    <s v="Cancelled"/>
  </r>
  <r>
    <s v="ORD1182"/>
    <x v="58"/>
    <s v="CUST117"/>
    <x v="19"/>
    <s v="Vivek Joshi"/>
    <x v="0"/>
    <x v="0"/>
    <n v="2"/>
    <n v="1735.75"/>
    <n v="3471.5"/>
    <n v="3471.5"/>
    <x v="6"/>
    <s v="Mumbai"/>
    <x v="2"/>
    <s v="Cash"/>
    <s v="Completed"/>
  </r>
  <r>
    <s v="ORD1183"/>
    <x v="120"/>
    <s v="CUST117"/>
    <x v="18"/>
    <s v="Priya Shah"/>
    <x v="4"/>
    <x v="3"/>
    <n v="3"/>
    <n v="3508.73"/>
    <n v="10526.19"/>
    <n v="10526.19"/>
    <x v="6"/>
    <s v="Mumbai"/>
    <x v="1"/>
    <s v="Credit Card"/>
    <s v="Returned"/>
  </r>
  <r>
    <s v="ORD1184"/>
    <x v="38"/>
    <s v="CUST106"/>
    <x v="4"/>
    <s v="Isha Gupta"/>
    <x v="14"/>
    <x v="4"/>
    <n v="4"/>
    <n v="6531.29"/>
    <n v="26125.16"/>
    <n v="26125.16"/>
    <x v="4"/>
    <s v="Thane"/>
    <x v="4"/>
    <s v="Debit Card"/>
    <s v="Completed"/>
  </r>
  <r>
    <s v="ORD1185"/>
    <x v="66"/>
    <s v="CUST111"/>
    <x v="14"/>
    <s v="Rohan Deshmukh"/>
    <x v="12"/>
    <x v="4"/>
    <n v="3"/>
    <n v="12429.35"/>
    <n v="37288.050000000003"/>
    <n v="37288.050000000003"/>
    <x v="4"/>
    <s v="Thane"/>
    <x v="0"/>
    <s v="UPI"/>
    <s v="Cancelled"/>
  </r>
  <r>
    <s v="ORD1186"/>
    <x v="101"/>
    <s v="CUST120"/>
    <x v="19"/>
    <s v="Vivek Joshi"/>
    <x v="0"/>
    <x v="0"/>
    <n v="4"/>
    <n v="1722.29"/>
    <n v="6889.16"/>
    <n v="6889.16"/>
    <x v="4"/>
    <s v="Thane"/>
    <x v="0"/>
    <s v="UPI"/>
    <s v="Cancelled"/>
  </r>
  <r>
    <s v="ORD1187"/>
    <x v="90"/>
    <s v="CUST113"/>
    <x v="19"/>
    <s v="Vivek Joshi"/>
    <x v="0"/>
    <x v="0"/>
    <n v="2"/>
    <n v="1950.03"/>
    <n v="3900.06"/>
    <n v="3900.06"/>
    <x v="1"/>
    <s v="Pune"/>
    <x v="4"/>
    <s v="Debit Card"/>
    <s v="Cancelled"/>
  </r>
  <r>
    <s v="ORD1188"/>
    <x v="86"/>
    <s v="CUST117"/>
    <x v="14"/>
    <s v="Rohan Deshmukh"/>
    <x v="12"/>
    <x v="4"/>
    <n v="3"/>
    <n v="12751.64"/>
    <n v="38254.92"/>
    <n v="38254.92"/>
    <x v="5"/>
    <s v="Navi Mumbai"/>
    <x v="3"/>
    <s v="Net Banking"/>
    <s v="Completed"/>
  </r>
  <r>
    <s v="ORD1189"/>
    <x v="57"/>
    <s v="CUST107"/>
    <x v="3"/>
    <s v="Karan Mehta"/>
    <x v="13"/>
    <x v="2"/>
    <n v="3"/>
    <n v="43279.79"/>
    <n v="129839.37"/>
    <n v="129839.37"/>
    <x v="7"/>
    <s v="Kolhapur"/>
    <x v="1"/>
    <s v="Credit Card"/>
    <s v="Completed"/>
  </r>
  <r>
    <s v="ORD1190"/>
    <x v="118"/>
    <s v="CUST104"/>
    <x v="10"/>
    <s v="Nikhil Pawar"/>
    <x v="7"/>
    <x v="2"/>
    <n v="2"/>
    <n v="2288.58"/>
    <n v="4577.16"/>
    <n v="4577.16"/>
    <x v="6"/>
    <s v="Mumbai"/>
    <x v="4"/>
    <s v="Debit Card"/>
    <s v="Cancelled"/>
  </r>
  <r>
    <s v="ORD1191"/>
    <x v="9"/>
    <s v="CUST106"/>
    <x v="11"/>
    <s v="Tanvi Shah"/>
    <x v="7"/>
    <x v="2"/>
    <n v="5"/>
    <n v="2438.36"/>
    <n v="12191.8"/>
    <n v="12191.800000000001"/>
    <x v="0"/>
    <s v="Nashik"/>
    <x v="2"/>
    <s v="Cash"/>
    <s v="Completed"/>
  </r>
  <r>
    <s v="ORD1192"/>
    <x v="103"/>
    <s v="CUST115"/>
    <x v="11"/>
    <s v="Tanvi Shah"/>
    <x v="12"/>
    <x v="4"/>
    <n v="3"/>
    <n v="12423.27"/>
    <n v="37269.81"/>
    <n v="37269.81"/>
    <x v="3"/>
    <s v="Aurangabad"/>
    <x v="2"/>
    <s v="Cash"/>
    <s v="Completed"/>
  </r>
  <r>
    <s v="ORD1193"/>
    <x v="121"/>
    <s v="CUST116"/>
    <x v="6"/>
    <s v="Aditya More"/>
    <x v="2"/>
    <x v="1"/>
    <n v="2"/>
    <n v="115.43"/>
    <n v="230.86"/>
    <n v="230.86"/>
    <x v="4"/>
    <s v="Thane"/>
    <x v="3"/>
    <s v="Net Banking"/>
    <s v="Completed"/>
  </r>
  <r>
    <s v="ORD1194"/>
    <x v="122"/>
    <s v="CUST117"/>
    <x v="2"/>
    <s v="Riya Desai"/>
    <x v="14"/>
    <x v="4"/>
    <n v="3"/>
    <n v="6861.56"/>
    <n v="20584.68"/>
    <n v="20584.68"/>
    <x v="0"/>
    <s v="Nashik"/>
    <x v="1"/>
    <s v="Credit Card"/>
    <s v="Cancelled"/>
  </r>
  <r>
    <s v="ORD1195"/>
    <x v="123"/>
    <s v="CUST112"/>
    <x v="9"/>
    <s v="Kavya Joshi"/>
    <x v="7"/>
    <x v="2"/>
    <n v="3"/>
    <n v="2276.09"/>
    <n v="6828.27"/>
    <n v="6828.27"/>
    <x v="1"/>
    <s v="Pune"/>
    <x v="3"/>
    <s v="Net Banking"/>
    <s v="Completed"/>
  </r>
  <r>
    <s v="ORD1196"/>
    <x v="124"/>
    <s v="CUST115"/>
    <x v="10"/>
    <s v="Nikhil Pawar"/>
    <x v="3"/>
    <x v="2"/>
    <n v="1"/>
    <n v="947.36"/>
    <n v="947.36"/>
    <n v="947.36"/>
    <x v="0"/>
    <s v="Nashik"/>
    <x v="2"/>
    <s v="Cash"/>
    <s v="Completed"/>
  </r>
  <r>
    <s v="ORD1197"/>
    <x v="45"/>
    <s v="CUST112"/>
    <x v="1"/>
    <s v="Aarav Sharma"/>
    <x v="8"/>
    <x v="3"/>
    <n v="2"/>
    <n v="2339.35"/>
    <n v="4678.7"/>
    <n v="4678.7"/>
    <x v="5"/>
    <s v="Navi Mumbai"/>
    <x v="0"/>
    <s v="UPI"/>
    <s v="Completed"/>
  </r>
  <r>
    <s v="ORD1198"/>
    <x v="34"/>
    <s v="CUST112"/>
    <x v="0"/>
    <s v="Neha Pawar"/>
    <x v="2"/>
    <x v="1"/>
    <n v="3"/>
    <n v="113.66"/>
    <n v="340.98"/>
    <n v="340.98"/>
    <x v="6"/>
    <s v="Mumbai"/>
    <x v="4"/>
    <s v="Debit Card"/>
    <s v="Completed"/>
  </r>
  <r>
    <s v="ORD1199"/>
    <x v="12"/>
    <s v="CUST102"/>
    <x v="17"/>
    <s v="Pooja Chavan"/>
    <x v="5"/>
    <x v="3"/>
    <n v="3"/>
    <n v="952.45"/>
    <n v="2857.35"/>
    <n v="2857.3500000000004"/>
    <x v="7"/>
    <s v="Kolhapur"/>
    <x v="1"/>
    <s v="Credit Card"/>
    <s v="Returned"/>
  </r>
  <r>
    <s v="ORD1200"/>
    <x v="23"/>
    <s v="CUST103"/>
    <x v="1"/>
    <s v="Aarav Sharma"/>
    <x v="14"/>
    <x v="4"/>
    <n v="4"/>
    <n v="6649.95"/>
    <n v="26599.8"/>
    <n v="26599.8"/>
    <x v="3"/>
    <s v="Aurangabad"/>
    <x v="1"/>
    <s v="Credit Card"/>
    <s v="Completed"/>
  </r>
  <r>
    <s v="ORD1201"/>
    <x v="125"/>
    <s v="CUST110"/>
    <x v="0"/>
    <s v="Neha Pawar"/>
    <x v="2"/>
    <x v="1"/>
    <n v="5"/>
    <n v="120.67"/>
    <n v="603.35"/>
    <n v="603.35"/>
    <x v="3"/>
    <s v="Aurangabad"/>
    <x v="0"/>
    <s v="UPI"/>
    <s v="Completed"/>
  </r>
  <r>
    <s v="ORD1202"/>
    <x v="67"/>
    <s v="CUST115"/>
    <x v="14"/>
    <s v="Rohan Deshmukh"/>
    <x v="6"/>
    <x v="2"/>
    <n v="4"/>
    <n v="1850.02"/>
    <n v="7400.08"/>
    <n v="7400.08"/>
    <x v="1"/>
    <s v="Pune"/>
    <x v="2"/>
    <s v="Cash"/>
    <s v="Cancelled"/>
  </r>
  <r>
    <s v="ORD1203"/>
    <x v="126"/>
    <s v="CUST108"/>
    <x v="19"/>
    <s v="Vivek Joshi"/>
    <x v="2"/>
    <x v="1"/>
    <n v="1"/>
    <n v="123.17"/>
    <n v="123.17"/>
    <n v="123.17"/>
    <x v="3"/>
    <s v="Aurangabad"/>
    <x v="2"/>
    <s v="Cash"/>
    <s v="Completed"/>
  </r>
  <r>
    <s v="ORD1204"/>
    <x v="127"/>
    <s v="CUST106"/>
    <x v="14"/>
    <s v="Rohan Deshmukh"/>
    <x v="9"/>
    <x v="1"/>
    <n v="3"/>
    <n v="237.03"/>
    <n v="711.09"/>
    <n v="711.09"/>
    <x v="4"/>
    <s v="Thane"/>
    <x v="0"/>
    <s v="UPI"/>
    <s v="Cancelled"/>
  </r>
  <r>
    <s v="ORD1205"/>
    <x v="16"/>
    <s v="CUST118"/>
    <x v="1"/>
    <s v="Aarav Sharma"/>
    <x v="2"/>
    <x v="1"/>
    <n v="5"/>
    <n v="126.87"/>
    <n v="634.35"/>
    <n v="634.35"/>
    <x v="5"/>
    <s v="Navi Mumbai"/>
    <x v="2"/>
    <s v="Cash"/>
    <s v="Completed"/>
  </r>
  <r>
    <s v="ORD1206"/>
    <x v="128"/>
    <s v="CUST101"/>
    <x v="4"/>
    <s v="Isha Gupta"/>
    <x v="0"/>
    <x v="0"/>
    <n v="4"/>
    <n v="1973.17"/>
    <n v="7892.68"/>
    <n v="7892.68"/>
    <x v="1"/>
    <s v="Pune"/>
    <x v="4"/>
    <s v="Debit Card"/>
    <s v="Completed"/>
  </r>
  <r>
    <s v="ORD1207"/>
    <x v="85"/>
    <s v="CUST111"/>
    <x v="19"/>
    <s v="Vivek Joshi"/>
    <x v="1"/>
    <x v="0"/>
    <n v="1"/>
    <n v="738.01"/>
    <n v="738.01"/>
    <n v="738.01"/>
    <x v="6"/>
    <s v="Mumbai"/>
    <x v="4"/>
    <s v="Debit Card"/>
    <s v="Cancelled"/>
  </r>
  <r>
    <s v="ORD1208"/>
    <x v="129"/>
    <s v="CUST115"/>
    <x v="13"/>
    <s v="Mansi Kulkarni"/>
    <x v="10"/>
    <x v="4"/>
    <n v="2"/>
    <n v="9061.65"/>
    <n v="18123.3"/>
    <n v="18123.3"/>
    <x v="0"/>
    <s v="Nashik"/>
    <x v="1"/>
    <s v="Credit Card"/>
    <s v="Completed"/>
  </r>
  <r>
    <s v="ORD1209"/>
    <x v="130"/>
    <s v="CUST102"/>
    <x v="6"/>
    <s v="Aditya More"/>
    <x v="1"/>
    <x v="0"/>
    <n v="4"/>
    <n v="635.17999999999995"/>
    <n v="2540.7199999999998"/>
    <n v="2540.7199999999998"/>
    <x v="6"/>
    <s v="Mumbai"/>
    <x v="4"/>
    <s v="Debit Card"/>
    <s v="Completed"/>
  </r>
  <r>
    <s v="ORD1210"/>
    <x v="83"/>
    <s v="CUST116"/>
    <x v="8"/>
    <s v="Rahul Jadhav"/>
    <x v="2"/>
    <x v="1"/>
    <n v="4"/>
    <n v="131.74"/>
    <n v="526.96"/>
    <n v="526.96"/>
    <x v="6"/>
    <s v="Mumbai"/>
    <x v="1"/>
    <s v="Credit Card"/>
    <s v="Completed"/>
  </r>
  <r>
    <s v="ORD1211"/>
    <x v="131"/>
    <s v="CUST109"/>
    <x v="12"/>
    <s v="Sneha Kulkarni"/>
    <x v="10"/>
    <x v="4"/>
    <n v="1"/>
    <n v="9121.86"/>
    <n v="9121.86"/>
    <n v="9121.86"/>
    <x v="4"/>
    <s v="Thane"/>
    <x v="2"/>
    <s v="Cash"/>
    <s v="Completed"/>
  </r>
  <r>
    <s v="ORD1212"/>
    <x v="132"/>
    <s v="CUST111"/>
    <x v="18"/>
    <s v="Priya Shah"/>
    <x v="1"/>
    <x v="0"/>
    <n v="4"/>
    <n v="755.25"/>
    <n v="3021"/>
    <n v="3021"/>
    <x v="7"/>
    <s v="Kolhapur"/>
    <x v="2"/>
    <s v="Cash"/>
    <s v="Completed"/>
  </r>
  <r>
    <s v="ORD1213"/>
    <x v="120"/>
    <s v="CUST114"/>
    <x v="14"/>
    <s v="Rohan Deshmukh"/>
    <x v="8"/>
    <x v="3"/>
    <n v="5"/>
    <n v="2097.36"/>
    <n v="10486.8"/>
    <n v="10486.800000000001"/>
    <x v="5"/>
    <s v="Navi Mumbai"/>
    <x v="3"/>
    <s v="Net Banking"/>
    <s v="Completed"/>
  </r>
  <r>
    <s v="ORD1214"/>
    <x v="34"/>
    <s v="CUST111"/>
    <x v="17"/>
    <s v="Pooja Chavan"/>
    <x v="2"/>
    <x v="1"/>
    <n v="3"/>
    <n v="115.71"/>
    <n v="347.13"/>
    <n v="347.13"/>
    <x v="3"/>
    <s v="Aurangabad"/>
    <x v="2"/>
    <s v="Cash"/>
    <s v="Cancelled"/>
  </r>
  <r>
    <s v="ORD1215"/>
    <x v="53"/>
    <s v="CUST112"/>
    <x v="20"/>
    <s v="Akash Shinde"/>
    <x v="1"/>
    <x v="0"/>
    <n v="4"/>
    <n v="653.33000000000004"/>
    <n v="2613.3200000000002"/>
    <n v="2613.3200000000002"/>
    <x v="6"/>
    <s v="Mumbai"/>
    <x v="4"/>
    <s v="Debit Card"/>
    <s v="Cancelled"/>
  </r>
  <r>
    <s v="ORD1216"/>
    <x v="96"/>
    <s v="CUST102"/>
    <x v="14"/>
    <s v="Rohan Deshmukh"/>
    <x v="12"/>
    <x v="4"/>
    <n v="3"/>
    <n v="12334.73"/>
    <n v="37004.19"/>
    <n v="37004.19"/>
    <x v="5"/>
    <s v="Navi Mumbai"/>
    <x v="4"/>
    <s v="Debit Card"/>
    <s v="Cancelled"/>
  </r>
  <r>
    <s v="ORD1217"/>
    <x v="133"/>
    <s v="CUST120"/>
    <x v="20"/>
    <s v="Akash Shinde"/>
    <x v="4"/>
    <x v="3"/>
    <n v="2"/>
    <n v="3489.79"/>
    <n v="6979.58"/>
    <n v="6979.58"/>
    <x v="6"/>
    <s v="Mumbai"/>
    <x v="1"/>
    <s v="Credit Card"/>
    <s v="Completed"/>
  </r>
  <r>
    <s v="ORD1218"/>
    <x v="57"/>
    <s v="CUST119"/>
    <x v="16"/>
    <s v="Ananya Patil"/>
    <x v="6"/>
    <x v="2"/>
    <n v="3"/>
    <n v="1750.37"/>
    <n v="5251.11"/>
    <n v="5251.11"/>
    <x v="0"/>
    <s v="Nashik"/>
    <x v="2"/>
    <s v="Cash"/>
    <s v="Completed"/>
  </r>
  <r>
    <s v="ORD1219"/>
    <x v="134"/>
    <s v="CUST105"/>
    <x v="10"/>
    <s v="Nikhil Pawar"/>
    <x v="10"/>
    <x v="4"/>
    <n v="4"/>
    <n v="8947.24"/>
    <n v="35788.959999999999"/>
    <n v="35788.959999999999"/>
    <x v="4"/>
    <s v="Thane"/>
    <x v="2"/>
    <s v="Cash"/>
    <s v="Completed"/>
  </r>
  <r>
    <s v="ORD1220"/>
    <x v="135"/>
    <s v="CUST101"/>
    <x v="18"/>
    <s v="Priya Shah"/>
    <x v="0"/>
    <x v="0"/>
    <n v="3"/>
    <n v="1709.86"/>
    <n v="5129.58"/>
    <n v="5129.58"/>
    <x v="7"/>
    <s v="Kolhapur"/>
    <x v="3"/>
    <s v="Net Banking"/>
    <s v="Completed"/>
  </r>
  <r>
    <s v="ORD1221"/>
    <x v="10"/>
    <s v="CUST109"/>
    <x v="20"/>
    <s v="Akash Shinde"/>
    <x v="8"/>
    <x v="3"/>
    <n v="5"/>
    <n v="2031.81"/>
    <n v="10159.049999999999"/>
    <n v="10159.049999999999"/>
    <x v="2"/>
    <s v="Nagpur"/>
    <x v="3"/>
    <s v="Net Banking"/>
    <s v="Completed"/>
  </r>
  <r>
    <s v="ORD1222"/>
    <x v="136"/>
    <s v="CUST103"/>
    <x v="20"/>
    <s v="Akash Shinde"/>
    <x v="1"/>
    <x v="0"/>
    <n v="4"/>
    <n v="658.02"/>
    <n v="2632.08"/>
    <n v="2632.08"/>
    <x v="0"/>
    <s v="Nashik"/>
    <x v="2"/>
    <s v="Cash"/>
    <s v="Completed"/>
  </r>
  <r>
    <s v="ORD1223"/>
    <x v="137"/>
    <s v="CUST103"/>
    <x v="9"/>
    <s v="Kavya Joshi"/>
    <x v="4"/>
    <x v="3"/>
    <n v="3"/>
    <n v="3307.42"/>
    <n v="9922.26"/>
    <n v="9922.26"/>
    <x v="3"/>
    <s v="Aurangabad"/>
    <x v="4"/>
    <s v="Debit Card"/>
    <s v="Completed"/>
  </r>
  <r>
    <s v="ORD1224"/>
    <x v="49"/>
    <s v="CUST108"/>
    <x v="12"/>
    <s v="Sneha Kulkarni"/>
    <x v="1"/>
    <x v="0"/>
    <n v="2"/>
    <n v="741.12"/>
    <n v="1482.24"/>
    <n v="1482.24"/>
    <x v="2"/>
    <s v="Nagpur"/>
    <x v="1"/>
    <s v="Credit Card"/>
    <s v="Completed"/>
  </r>
  <r>
    <s v="ORD1225"/>
    <x v="14"/>
    <s v="CUST119"/>
    <x v="4"/>
    <s v="Isha Gupta"/>
    <x v="4"/>
    <x v="3"/>
    <n v="4"/>
    <n v="2896.82"/>
    <n v="11587.28"/>
    <n v="11587.28"/>
    <x v="7"/>
    <s v="Kolhapur"/>
    <x v="3"/>
    <s v="Net Banking"/>
    <s v="Completed"/>
  </r>
  <r>
    <s v="ORD1226"/>
    <x v="35"/>
    <s v="CUST116"/>
    <x v="10"/>
    <s v="Nikhil Pawar"/>
    <x v="9"/>
    <x v="1"/>
    <n v="1"/>
    <n v="228.29"/>
    <n v="228.29"/>
    <n v="228.29"/>
    <x v="5"/>
    <s v="Navi Mumbai"/>
    <x v="2"/>
    <s v="Cash"/>
    <s v="Cancelled"/>
  </r>
  <r>
    <s v="ORD1227"/>
    <x v="112"/>
    <s v="CUST103"/>
    <x v="20"/>
    <s v="Akash Shinde"/>
    <x v="11"/>
    <x v="2"/>
    <n v="2"/>
    <n v="30645.33"/>
    <n v="61290.66"/>
    <n v="61290.66"/>
    <x v="7"/>
    <s v="Kolhapur"/>
    <x v="3"/>
    <s v="Net Banking"/>
    <s v="Completed"/>
  </r>
  <r>
    <s v="ORD1228"/>
    <x v="65"/>
    <s v="CUST105"/>
    <x v="2"/>
    <s v="Riya Desai"/>
    <x v="7"/>
    <x v="2"/>
    <n v="5"/>
    <n v="2569.9"/>
    <n v="12849.5"/>
    <n v="12849.5"/>
    <x v="6"/>
    <s v="Mumbai"/>
    <x v="0"/>
    <s v="UPI"/>
    <s v="Cancelled"/>
  </r>
  <r>
    <s v="ORD1229"/>
    <x v="138"/>
    <s v="CUST108"/>
    <x v="4"/>
    <s v="Isha Gupta"/>
    <x v="7"/>
    <x v="2"/>
    <n v="3"/>
    <n v="2332.33"/>
    <n v="6996.99"/>
    <n v="6996.99"/>
    <x v="3"/>
    <s v="Aurangabad"/>
    <x v="0"/>
    <s v="UPI"/>
    <s v="Completed"/>
  </r>
  <r>
    <s v="ORD1230"/>
    <x v="139"/>
    <s v="CUST110"/>
    <x v="11"/>
    <s v="Tanvi Shah"/>
    <x v="6"/>
    <x v="2"/>
    <n v="5"/>
    <n v="1718.8"/>
    <n v="8594"/>
    <n v="8594"/>
    <x v="1"/>
    <s v="Pune"/>
    <x v="3"/>
    <s v="Net Banking"/>
    <s v="Returned"/>
  </r>
  <r>
    <s v="ORD1231"/>
    <x v="94"/>
    <s v="CUST106"/>
    <x v="11"/>
    <s v="Tanvi Shah"/>
    <x v="7"/>
    <x v="2"/>
    <n v="5"/>
    <n v="2720.8"/>
    <n v="13604"/>
    <n v="13604"/>
    <x v="4"/>
    <s v="Thane"/>
    <x v="3"/>
    <s v="Net Banking"/>
    <s v="Completed"/>
  </r>
  <r>
    <s v="ORD1232"/>
    <x v="115"/>
    <s v="CUST119"/>
    <x v="8"/>
    <s v="Rahul Jadhav"/>
    <x v="5"/>
    <x v="3"/>
    <n v="1"/>
    <n v="824.62"/>
    <n v="824.62"/>
    <n v="824.62"/>
    <x v="2"/>
    <s v="Nagpur"/>
    <x v="3"/>
    <s v="Net Banking"/>
    <s v="Completed"/>
  </r>
  <r>
    <s v="ORD1233"/>
    <x v="139"/>
    <s v="CUST118"/>
    <x v="17"/>
    <s v="Pooja Chavan"/>
    <x v="9"/>
    <x v="1"/>
    <n v="1"/>
    <n v="249.9"/>
    <n v="249.9"/>
    <n v="249.9"/>
    <x v="3"/>
    <s v="Aurangabad"/>
    <x v="2"/>
    <s v="Cash"/>
    <s v="Completed"/>
  </r>
  <r>
    <s v="ORD1234"/>
    <x v="79"/>
    <s v="CUST102"/>
    <x v="18"/>
    <s v="Priya Shah"/>
    <x v="4"/>
    <x v="3"/>
    <n v="4"/>
    <n v="3070.36"/>
    <n v="12281.44"/>
    <n v="12281.44"/>
    <x v="7"/>
    <s v="Kolhapur"/>
    <x v="2"/>
    <s v="Cash"/>
    <s v="Completed"/>
  </r>
  <r>
    <s v="ORD1235"/>
    <x v="133"/>
    <s v="CUST111"/>
    <x v="3"/>
    <s v="Karan Mehta"/>
    <x v="14"/>
    <x v="4"/>
    <n v="2"/>
    <n v="6292.25"/>
    <n v="12584.5"/>
    <n v="12584.5"/>
    <x v="4"/>
    <s v="Thane"/>
    <x v="2"/>
    <s v="Cash"/>
    <s v="Completed"/>
  </r>
  <r>
    <s v="ORD1236"/>
    <x v="98"/>
    <s v="CUST111"/>
    <x v="0"/>
    <s v="Neha Pawar"/>
    <x v="4"/>
    <x v="3"/>
    <n v="3"/>
    <n v="3209.59"/>
    <n v="9628.77"/>
    <n v="9628.77"/>
    <x v="7"/>
    <s v="Kolhapur"/>
    <x v="0"/>
    <s v="UPI"/>
    <s v="Completed"/>
  </r>
  <r>
    <s v="ORD1237"/>
    <x v="140"/>
    <s v="CUST110"/>
    <x v="5"/>
    <s v="Siddharth Patil"/>
    <x v="14"/>
    <x v="4"/>
    <n v="2"/>
    <n v="6033.14"/>
    <n v="12066.28"/>
    <n v="12066.28"/>
    <x v="5"/>
    <s v="Navi Mumbai"/>
    <x v="1"/>
    <s v="Credit Card"/>
    <s v="Completed"/>
  </r>
  <r>
    <s v="ORD1238"/>
    <x v="73"/>
    <s v="CUST111"/>
    <x v="6"/>
    <s v="Aditya More"/>
    <x v="5"/>
    <x v="3"/>
    <n v="3"/>
    <n v="978.08"/>
    <n v="2934.24"/>
    <n v="2934.2400000000002"/>
    <x v="0"/>
    <s v="Nashik"/>
    <x v="2"/>
    <s v="Cash"/>
    <s v="Cancelled"/>
  </r>
  <r>
    <s v="ORD1239"/>
    <x v="141"/>
    <s v="CUST101"/>
    <x v="14"/>
    <s v="Rohan Deshmukh"/>
    <x v="14"/>
    <x v="4"/>
    <n v="4"/>
    <n v="6992.8"/>
    <n v="27971.200000000001"/>
    <n v="27971.200000000001"/>
    <x v="5"/>
    <s v="Navi Mumbai"/>
    <x v="3"/>
    <s v="Net Banking"/>
    <s v="Completed"/>
  </r>
  <r>
    <s v="ORD1240"/>
    <x v="140"/>
    <s v="CUST102"/>
    <x v="17"/>
    <s v="Pooja Chavan"/>
    <x v="6"/>
    <x v="2"/>
    <n v="2"/>
    <n v="1830"/>
    <n v="3660"/>
    <n v="3660"/>
    <x v="7"/>
    <s v="Kolhapur"/>
    <x v="3"/>
    <s v="Net Banking"/>
    <s v="Returned"/>
  </r>
  <r>
    <s v="ORD1241"/>
    <x v="142"/>
    <s v="CUST104"/>
    <x v="2"/>
    <s v="Riya Desai"/>
    <x v="0"/>
    <x v="0"/>
    <n v="4"/>
    <n v="1722.87"/>
    <n v="6891.48"/>
    <n v="6891.48"/>
    <x v="0"/>
    <s v="Nashik"/>
    <x v="4"/>
    <s v="Debit Card"/>
    <s v="Returned"/>
  </r>
  <r>
    <s v="ORD1242"/>
    <x v="87"/>
    <s v="CUST102"/>
    <x v="15"/>
    <s v="Omkar More"/>
    <x v="10"/>
    <x v="4"/>
    <n v="4"/>
    <n v="8272.09"/>
    <n v="33088.36"/>
    <n v="33088.36"/>
    <x v="2"/>
    <s v="Nagpur"/>
    <x v="4"/>
    <s v="Debit Card"/>
    <s v="Cancelled"/>
  </r>
  <r>
    <s v="ORD1243"/>
    <x v="82"/>
    <s v="CUST118"/>
    <x v="8"/>
    <s v="Rahul Jadhav"/>
    <x v="3"/>
    <x v="2"/>
    <n v="1"/>
    <n v="879.54"/>
    <n v="879.54"/>
    <n v="879.54"/>
    <x v="1"/>
    <s v="Pune"/>
    <x v="1"/>
    <s v="Credit Card"/>
    <s v="Completed"/>
  </r>
  <r>
    <s v="ORD1244"/>
    <x v="71"/>
    <s v="CUST118"/>
    <x v="4"/>
    <s v="Isha Gupta"/>
    <x v="12"/>
    <x v="4"/>
    <n v="3"/>
    <n v="12707.75"/>
    <n v="38123.25"/>
    <n v="38123.25"/>
    <x v="0"/>
    <s v="Nashik"/>
    <x v="1"/>
    <s v="Credit Card"/>
    <s v="Cancelled"/>
  </r>
  <r>
    <s v="ORD1245"/>
    <x v="41"/>
    <s v="CUST102"/>
    <x v="19"/>
    <s v="Vivek Joshi"/>
    <x v="2"/>
    <x v="1"/>
    <n v="4"/>
    <n v="120"/>
    <n v="480"/>
    <n v="480"/>
    <x v="4"/>
    <s v="Thane"/>
    <x v="2"/>
    <s v="Cash"/>
    <s v="Cancelled"/>
  </r>
  <r>
    <s v="ORD1246"/>
    <x v="143"/>
    <s v="CUST105"/>
    <x v="3"/>
    <s v="Karan Mehta"/>
    <x v="14"/>
    <x v="4"/>
    <n v="2"/>
    <n v="6638.14"/>
    <n v="13276.28"/>
    <n v="13276.28"/>
    <x v="4"/>
    <s v="Thane"/>
    <x v="1"/>
    <s v="Credit Card"/>
    <s v="Completed"/>
  </r>
  <r>
    <s v="ORD1247"/>
    <x v="16"/>
    <s v="CUST117"/>
    <x v="9"/>
    <s v="Kavya Joshi"/>
    <x v="9"/>
    <x v="1"/>
    <n v="3"/>
    <n v="254.69"/>
    <n v="764.07"/>
    <n v="764.06999999999994"/>
    <x v="7"/>
    <s v="Kolhapur"/>
    <x v="3"/>
    <s v="Net Banking"/>
    <s v="Completed"/>
  </r>
  <r>
    <s v="ORD1248"/>
    <x v="144"/>
    <s v="CUST104"/>
    <x v="2"/>
    <s v="Riya Desai"/>
    <x v="14"/>
    <x v="4"/>
    <n v="1"/>
    <n v="6328.87"/>
    <n v="6328.87"/>
    <n v="6328.87"/>
    <x v="3"/>
    <s v="Aurangabad"/>
    <x v="0"/>
    <s v="UPI"/>
    <s v="Cancelled"/>
  </r>
  <r>
    <s v="ORD1249"/>
    <x v="106"/>
    <s v="CUST119"/>
    <x v="15"/>
    <s v="Omkar More"/>
    <x v="14"/>
    <x v="4"/>
    <n v="3"/>
    <n v="7107.19"/>
    <n v="21321.57"/>
    <n v="21321.57"/>
    <x v="2"/>
    <s v="Nagpur"/>
    <x v="0"/>
    <s v="UPI"/>
    <s v="Cancelled"/>
  </r>
  <r>
    <s v="ORD1250"/>
    <x v="73"/>
    <s v="CUST120"/>
    <x v="5"/>
    <s v="Siddharth Patil"/>
    <x v="14"/>
    <x v="4"/>
    <n v="2"/>
    <n v="6531.5"/>
    <n v="13063"/>
    <n v="13063"/>
    <x v="0"/>
    <s v="Nashik"/>
    <x v="1"/>
    <s v="Credit Card"/>
    <s v="Completed"/>
  </r>
  <r>
    <s v="ORD1251"/>
    <x v="145"/>
    <s v="CUST111"/>
    <x v="2"/>
    <s v="Riya Desai"/>
    <x v="9"/>
    <x v="1"/>
    <n v="1"/>
    <n v="234.54"/>
    <n v="234.54"/>
    <n v="234.54"/>
    <x v="0"/>
    <s v="Nashik"/>
    <x v="2"/>
    <s v="Cash"/>
    <s v="Returned"/>
  </r>
  <r>
    <s v="ORD1252"/>
    <x v="38"/>
    <s v="CUST116"/>
    <x v="16"/>
    <s v="Ananya Patil"/>
    <x v="6"/>
    <x v="2"/>
    <n v="4"/>
    <n v="1800.66"/>
    <n v="7202.64"/>
    <n v="7202.64"/>
    <x v="0"/>
    <s v="Nashik"/>
    <x v="3"/>
    <s v="Net Banking"/>
    <s v="Completed"/>
  </r>
  <r>
    <s v="ORD1253"/>
    <x v="146"/>
    <s v="CUST117"/>
    <x v="5"/>
    <s v="Siddharth Patil"/>
    <x v="2"/>
    <x v="1"/>
    <n v="3"/>
    <n v="131.94999999999999"/>
    <n v="395.85"/>
    <n v="395.84999999999997"/>
    <x v="4"/>
    <s v="Thane"/>
    <x v="1"/>
    <s v="Credit Card"/>
    <s v="Completed"/>
  </r>
  <r>
    <s v="ORD1254"/>
    <x v="8"/>
    <s v="CUST109"/>
    <x v="11"/>
    <s v="Tanvi Shah"/>
    <x v="8"/>
    <x v="3"/>
    <n v="5"/>
    <n v="2130.62"/>
    <n v="10653.1"/>
    <n v="10653.099999999999"/>
    <x v="7"/>
    <s v="Kolhapur"/>
    <x v="1"/>
    <s v="Credit Card"/>
    <s v="Completed"/>
  </r>
  <r>
    <s v="ORD1255"/>
    <x v="11"/>
    <s v="CUST110"/>
    <x v="17"/>
    <s v="Pooja Chavan"/>
    <x v="3"/>
    <x v="2"/>
    <n v="5"/>
    <n v="863.73"/>
    <n v="4318.6499999999996"/>
    <n v="4318.6499999999996"/>
    <x v="2"/>
    <s v="Nagpur"/>
    <x v="2"/>
    <s v="Cash"/>
    <s v="Completed"/>
  </r>
  <r>
    <s v="ORD1256"/>
    <x v="147"/>
    <s v="CUST109"/>
    <x v="17"/>
    <s v="Pooja Chavan"/>
    <x v="14"/>
    <x v="4"/>
    <n v="3"/>
    <n v="6578.63"/>
    <n v="19735.89"/>
    <n v="19735.89"/>
    <x v="1"/>
    <s v="Pune"/>
    <x v="3"/>
    <s v="Net Banking"/>
    <s v="Returned"/>
  </r>
  <r>
    <s v="ORD1257"/>
    <x v="35"/>
    <s v="CUST112"/>
    <x v="19"/>
    <s v="Vivek Joshi"/>
    <x v="2"/>
    <x v="1"/>
    <n v="4"/>
    <n v="129.5"/>
    <n v="518"/>
    <n v="518"/>
    <x v="3"/>
    <s v="Aurangabad"/>
    <x v="0"/>
    <s v="UPI"/>
    <s v="Completed"/>
  </r>
  <r>
    <s v="ORD1258"/>
    <x v="53"/>
    <s v="CUST109"/>
    <x v="13"/>
    <s v="Mansi Kulkarni"/>
    <x v="1"/>
    <x v="0"/>
    <n v="1"/>
    <n v="678.49"/>
    <n v="678.49"/>
    <n v="678.49"/>
    <x v="2"/>
    <s v="Nagpur"/>
    <x v="1"/>
    <s v="Credit Card"/>
    <s v="Cancelled"/>
  </r>
  <r>
    <s v="ORD1259"/>
    <x v="12"/>
    <s v="CUST104"/>
    <x v="11"/>
    <s v="Tanvi Shah"/>
    <x v="3"/>
    <x v="2"/>
    <n v="5"/>
    <n v="935.31"/>
    <n v="4676.55"/>
    <n v="4676.5499999999993"/>
    <x v="2"/>
    <s v="Nagpur"/>
    <x v="1"/>
    <s v="Credit Card"/>
    <s v="Completed"/>
  </r>
  <r>
    <s v="ORD1260"/>
    <x v="92"/>
    <s v="CUST102"/>
    <x v="12"/>
    <s v="Sneha Kulkarni"/>
    <x v="0"/>
    <x v="0"/>
    <n v="5"/>
    <n v="1701.24"/>
    <n v="8506.2000000000007"/>
    <n v="8506.2000000000007"/>
    <x v="5"/>
    <s v="Navi Mumbai"/>
    <x v="4"/>
    <s v="Debit Card"/>
    <s v="Returned"/>
  </r>
  <r>
    <s v="ORD1261"/>
    <x v="12"/>
    <s v="CUST101"/>
    <x v="9"/>
    <s v="Kavya Joshi"/>
    <x v="14"/>
    <x v="4"/>
    <n v="1"/>
    <n v="6735.55"/>
    <n v="6735.55"/>
    <n v="6735.55"/>
    <x v="0"/>
    <s v="Nashik"/>
    <x v="2"/>
    <s v="Cash"/>
    <s v="Returned"/>
  </r>
  <r>
    <s v="ORD1262"/>
    <x v="130"/>
    <s v="CUST110"/>
    <x v="3"/>
    <s v="Karan Mehta"/>
    <x v="8"/>
    <x v="3"/>
    <n v="4"/>
    <n v="2190.08"/>
    <n v="8760.32"/>
    <n v="8760.32"/>
    <x v="3"/>
    <s v="Aurangabad"/>
    <x v="0"/>
    <s v="UPI"/>
    <s v="Completed"/>
  </r>
  <r>
    <s v="ORD1263"/>
    <x v="148"/>
    <s v="CUST102"/>
    <x v="18"/>
    <s v="Priya Shah"/>
    <x v="0"/>
    <x v="0"/>
    <n v="5"/>
    <n v="1703.6"/>
    <n v="8518"/>
    <n v="8518"/>
    <x v="5"/>
    <s v="Navi Mumbai"/>
    <x v="1"/>
    <s v="Credit Card"/>
    <s v="Completed"/>
  </r>
  <r>
    <s v="ORD1264"/>
    <x v="149"/>
    <s v="CUST110"/>
    <x v="16"/>
    <s v="Ananya Patil"/>
    <x v="5"/>
    <x v="3"/>
    <n v="4"/>
    <n v="951.83"/>
    <n v="3807.32"/>
    <n v="3807.32"/>
    <x v="6"/>
    <s v="Mumbai"/>
    <x v="4"/>
    <s v="Debit Card"/>
    <s v="Cancelled"/>
  </r>
  <r>
    <s v="ORD1265"/>
    <x v="150"/>
    <s v="CUST110"/>
    <x v="20"/>
    <s v="Akash Shinde"/>
    <x v="9"/>
    <x v="1"/>
    <n v="1"/>
    <n v="271.42"/>
    <n v="271.42"/>
    <n v="271.42"/>
    <x v="7"/>
    <s v="Kolhapur"/>
    <x v="1"/>
    <s v="Credit Card"/>
    <s v="Cancelled"/>
  </r>
  <r>
    <s v="ORD1266"/>
    <x v="125"/>
    <s v="CUST111"/>
    <x v="18"/>
    <s v="Priya Shah"/>
    <x v="14"/>
    <x v="4"/>
    <n v="3"/>
    <n v="6100.65"/>
    <n v="18301.95"/>
    <n v="18301.949999999997"/>
    <x v="7"/>
    <s v="Kolhapur"/>
    <x v="4"/>
    <s v="Debit Card"/>
    <s v="Returned"/>
  </r>
  <r>
    <s v="ORD1267"/>
    <x v="96"/>
    <s v="CUST110"/>
    <x v="15"/>
    <s v="Omkar More"/>
    <x v="7"/>
    <x v="2"/>
    <n v="1"/>
    <n v="2618.31"/>
    <n v="2618.31"/>
    <n v="2618.31"/>
    <x v="2"/>
    <s v="Nagpur"/>
    <x v="1"/>
    <s v="Credit Card"/>
    <s v="Cancelled"/>
  </r>
  <r>
    <s v="ORD1268"/>
    <x v="143"/>
    <s v="CUST111"/>
    <x v="14"/>
    <s v="Rohan Deshmukh"/>
    <x v="5"/>
    <x v="3"/>
    <n v="4"/>
    <n v="958.86"/>
    <n v="3835.44"/>
    <n v="3835.44"/>
    <x v="5"/>
    <s v="Navi Mumbai"/>
    <x v="0"/>
    <s v="UPI"/>
    <s v="Completed"/>
  </r>
  <r>
    <s v="ORD1269"/>
    <x v="56"/>
    <s v="CUST101"/>
    <x v="8"/>
    <s v="Rahul Jadhav"/>
    <x v="7"/>
    <x v="2"/>
    <n v="4"/>
    <n v="2411.8000000000002"/>
    <n v="9647.2000000000007"/>
    <n v="9647.2000000000007"/>
    <x v="5"/>
    <s v="Navi Mumbai"/>
    <x v="1"/>
    <s v="Credit Card"/>
    <s v="Completed"/>
  </r>
  <r>
    <s v="ORD1270"/>
    <x v="78"/>
    <s v="CUST119"/>
    <x v="15"/>
    <s v="Omkar More"/>
    <x v="4"/>
    <x v="3"/>
    <n v="3"/>
    <n v="3490.58"/>
    <n v="10471.74"/>
    <n v="10471.74"/>
    <x v="6"/>
    <s v="Mumbai"/>
    <x v="4"/>
    <s v="Debit Card"/>
    <s v="Returned"/>
  </r>
  <r>
    <s v="ORD1271"/>
    <x v="80"/>
    <s v="CUST115"/>
    <x v="17"/>
    <s v="Pooja Chavan"/>
    <x v="10"/>
    <x v="4"/>
    <n v="2"/>
    <n v="7755.61"/>
    <n v="15511.22"/>
    <n v="15511.22"/>
    <x v="0"/>
    <s v="Nashik"/>
    <x v="2"/>
    <s v="Cash"/>
    <s v="Returned"/>
  </r>
  <r>
    <s v="ORD1272"/>
    <x v="151"/>
    <s v="CUST110"/>
    <x v="4"/>
    <s v="Isha Gupta"/>
    <x v="2"/>
    <x v="1"/>
    <n v="3"/>
    <n v="124.57"/>
    <n v="373.71"/>
    <n v="373.71"/>
    <x v="2"/>
    <s v="Nagpur"/>
    <x v="1"/>
    <s v="Credit Card"/>
    <s v="Completed"/>
  </r>
  <r>
    <s v="ORD1273"/>
    <x v="152"/>
    <s v="CUST112"/>
    <x v="2"/>
    <s v="Riya Desai"/>
    <x v="14"/>
    <x v="4"/>
    <n v="2"/>
    <n v="6441.47"/>
    <n v="12882.94"/>
    <n v="12882.94"/>
    <x v="7"/>
    <s v="Kolhapur"/>
    <x v="3"/>
    <s v="Net Banking"/>
    <s v="Returned"/>
  </r>
  <r>
    <s v="ORD1274"/>
    <x v="153"/>
    <s v="CUST120"/>
    <x v="14"/>
    <s v="Rohan Deshmukh"/>
    <x v="5"/>
    <x v="3"/>
    <n v="2"/>
    <n v="947.13"/>
    <n v="1894.26"/>
    <n v="1894.26"/>
    <x v="7"/>
    <s v="Kolhapur"/>
    <x v="3"/>
    <s v="Net Banking"/>
    <s v="Returned"/>
  </r>
  <r>
    <s v="ORD1275"/>
    <x v="125"/>
    <s v="CUST102"/>
    <x v="9"/>
    <s v="Kavya Joshi"/>
    <x v="10"/>
    <x v="4"/>
    <n v="1"/>
    <n v="9209.32"/>
    <n v="9209.32"/>
    <n v="9209.32"/>
    <x v="2"/>
    <s v="Nagpur"/>
    <x v="3"/>
    <s v="Net Banking"/>
    <s v="Cancelled"/>
  </r>
  <r>
    <s v="ORD1276"/>
    <x v="154"/>
    <s v="CUST115"/>
    <x v="12"/>
    <s v="Sneha Kulkarni"/>
    <x v="7"/>
    <x v="2"/>
    <n v="2"/>
    <n v="2414.06"/>
    <n v="4828.12"/>
    <n v="4828.12"/>
    <x v="2"/>
    <s v="Nagpur"/>
    <x v="3"/>
    <s v="Net Banking"/>
    <s v="Completed"/>
  </r>
  <r>
    <s v="ORD1277"/>
    <x v="155"/>
    <s v="CUST115"/>
    <x v="19"/>
    <s v="Vivek Joshi"/>
    <x v="11"/>
    <x v="2"/>
    <n v="5"/>
    <n v="27694.7"/>
    <n v="138473.5"/>
    <n v="138473.5"/>
    <x v="5"/>
    <s v="Navi Mumbai"/>
    <x v="2"/>
    <s v="Cash"/>
    <s v="Cancelled"/>
  </r>
  <r>
    <s v="ORD1278"/>
    <x v="156"/>
    <s v="CUST110"/>
    <x v="1"/>
    <s v="Aarav Sharma"/>
    <x v="13"/>
    <x v="2"/>
    <n v="5"/>
    <n v="44661.4"/>
    <n v="223307"/>
    <n v="223307"/>
    <x v="5"/>
    <s v="Navi Mumbai"/>
    <x v="4"/>
    <s v="Debit Card"/>
    <s v="Completed"/>
  </r>
  <r>
    <s v="ORD1279"/>
    <x v="41"/>
    <s v="CUST114"/>
    <x v="4"/>
    <s v="Isha Gupta"/>
    <x v="1"/>
    <x v="0"/>
    <n v="2"/>
    <n v="710.96"/>
    <n v="1421.92"/>
    <n v="1421.92"/>
    <x v="1"/>
    <s v="Pune"/>
    <x v="3"/>
    <s v="Net Banking"/>
    <s v="Completed"/>
  </r>
  <r>
    <s v="ORD1280"/>
    <x v="91"/>
    <s v="CUST102"/>
    <x v="17"/>
    <s v="Pooja Chavan"/>
    <x v="8"/>
    <x v="3"/>
    <n v="1"/>
    <n v="2413.9"/>
    <n v="2413.9"/>
    <n v="2413.9"/>
    <x v="5"/>
    <s v="Navi Mumbai"/>
    <x v="1"/>
    <s v="Credit Card"/>
    <s v="Completed"/>
  </r>
  <r>
    <s v="ORD1281"/>
    <x v="157"/>
    <s v="CUST113"/>
    <x v="20"/>
    <s v="Akash Shinde"/>
    <x v="4"/>
    <x v="3"/>
    <n v="4"/>
    <n v="3119.65"/>
    <n v="12478.6"/>
    <n v="12478.6"/>
    <x v="5"/>
    <s v="Navi Mumbai"/>
    <x v="2"/>
    <s v="Cash"/>
    <s v="Completed"/>
  </r>
  <r>
    <s v="ORD1282"/>
    <x v="28"/>
    <s v="CUST112"/>
    <x v="12"/>
    <s v="Sneha Kulkarni"/>
    <x v="0"/>
    <x v="0"/>
    <n v="5"/>
    <n v="1667.88"/>
    <n v="8339.4"/>
    <n v="8339.4000000000015"/>
    <x v="0"/>
    <s v="Nashik"/>
    <x v="3"/>
    <s v="Net Banking"/>
    <s v="Completed"/>
  </r>
  <r>
    <s v="ORD1283"/>
    <x v="158"/>
    <s v="CUST101"/>
    <x v="1"/>
    <s v="Aarav Sharma"/>
    <x v="2"/>
    <x v="1"/>
    <n v="2"/>
    <n v="125.47"/>
    <n v="250.94"/>
    <n v="250.94"/>
    <x v="3"/>
    <s v="Aurangabad"/>
    <x v="2"/>
    <s v="Cash"/>
    <s v="Returned"/>
  </r>
  <r>
    <s v="ORD1284"/>
    <x v="4"/>
    <s v="CUST108"/>
    <x v="0"/>
    <s v="Neha Pawar"/>
    <x v="1"/>
    <x v="0"/>
    <n v="5"/>
    <n v="689.38"/>
    <n v="3446.9"/>
    <n v="3446.9"/>
    <x v="7"/>
    <s v="Kolhapur"/>
    <x v="4"/>
    <s v="Debit Card"/>
    <s v="Completed"/>
  </r>
  <r>
    <s v="ORD1285"/>
    <x v="101"/>
    <s v="CUST104"/>
    <x v="16"/>
    <s v="Ananya Patil"/>
    <x v="3"/>
    <x v="2"/>
    <n v="2"/>
    <n v="978.73"/>
    <n v="1957.46"/>
    <n v="1957.46"/>
    <x v="5"/>
    <s v="Navi Mumbai"/>
    <x v="3"/>
    <s v="Net Banking"/>
    <s v="Completed"/>
  </r>
  <r>
    <s v="ORD1286"/>
    <x v="84"/>
    <s v="CUST102"/>
    <x v="20"/>
    <s v="Akash Shinde"/>
    <x v="6"/>
    <x v="2"/>
    <n v="2"/>
    <n v="1644.22"/>
    <n v="3288.44"/>
    <n v="3288.44"/>
    <x v="6"/>
    <s v="Mumbai"/>
    <x v="1"/>
    <s v="Credit Card"/>
    <s v="Returned"/>
  </r>
  <r>
    <s v="ORD1287"/>
    <x v="159"/>
    <s v="CUST107"/>
    <x v="16"/>
    <s v="Ananya Patil"/>
    <x v="13"/>
    <x v="2"/>
    <n v="4"/>
    <n v="44450.67"/>
    <n v="177802.68"/>
    <n v="177802.68"/>
    <x v="0"/>
    <s v="Nashik"/>
    <x v="3"/>
    <s v="Net Banking"/>
    <s v="Completed"/>
  </r>
  <r>
    <s v="ORD1288"/>
    <x v="17"/>
    <s v="CUST111"/>
    <x v="0"/>
    <s v="Neha Pawar"/>
    <x v="6"/>
    <x v="2"/>
    <n v="5"/>
    <n v="1734.81"/>
    <n v="8674.0499999999993"/>
    <n v="8674.0499999999993"/>
    <x v="3"/>
    <s v="Aurangabad"/>
    <x v="1"/>
    <s v="Credit Card"/>
    <s v="Returned"/>
  </r>
  <r>
    <s v="ORD1289"/>
    <x v="0"/>
    <s v="CUST102"/>
    <x v="9"/>
    <s v="Kavya Joshi"/>
    <x v="2"/>
    <x v="1"/>
    <n v="2"/>
    <n v="117.93"/>
    <n v="235.86"/>
    <n v="235.86"/>
    <x v="0"/>
    <s v="Nashik"/>
    <x v="2"/>
    <s v="Cash"/>
    <s v="Cancelled"/>
  </r>
  <r>
    <s v="ORD1290"/>
    <x v="11"/>
    <s v="CUST113"/>
    <x v="10"/>
    <s v="Nikhil Pawar"/>
    <x v="14"/>
    <x v="4"/>
    <n v="1"/>
    <n v="7113.98"/>
    <n v="7113.98"/>
    <n v="7113.98"/>
    <x v="4"/>
    <s v="Thane"/>
    <x v="2"/>
    <s v="Cash"/>
    <s v="Completed"/>
  </r>
  <r>
    <s v="ORD1291"/>
    <x v="114"/>
    <s v="CUST118"/>
    <x v="13"/>
    <s v="Mansi Kulkarni"/>
    <x v="7"/>
    <x v="2"/>
    <n v="3"/>
    <n v="2438.23"/>
    <n v="7314.69"/>
    <n v="7314.6900000000005"/>
    <x v="2"/>
    <s v="Nagpur"/>
    <x v="1"/>
    <s v="Credit Card"/>
    <s v="Completed"/>
  </r>
  <r>
    <s v="ORD1292"/>
    <x v="160"/>
    <s v="CUST102"/>
    <x v="9"/>
    <s v="Kavya Joshi"/>
    <x v="5"/>
    <x v="3"/>
    <n v="2"/>
    <n v="955.04"/>
    <n v="1910.08"/>
    <n v="1910.08"/>
    <x v="5"/>
    <s v="Navi Mumbai"/>
    <x v="2"/>
    <s v="Cash"/>
    <s v="Cancelled"/>
  </r>
  <r>
    <s v="ORD1293"/>
    <x v="161"/>
    <s v="CUST107"/>
    <x v="3"/>
    <s v="Karan Mehta"/>
    <x v="2"/>
    <x v="1"/>
    <n v="2"/>
    <n v="117.32"/>
    <n v="234.64"/>
    <n v="234.64"/>
    <x v="1"/>
    <s v="Pune"/>
    <x v="2"/>
    <s v="Cash"/>
    <s v="Completed"/>
  </r>
  <r>
    <s v="ORD1294"/>
    <x v="162"/>
    <s v="CUST102"/>
    <x v="8"/>
    <s v="Rahul Jadhav"/>
    <x v="11"/>
    <x v="2"/>
    <n v="5"/>
    <n v="29257.67"/>
    <n v="146288.35"/>
    <n v="146288.34999999998"/>
    <x v="5"/>
    <s v="Navi Mumbai"/>
    <x v="3"/>
    <s v="Net Banking"/>
    <s v="Cancelled"/>
  </r>
  <r>
    <s v="ORD1295"/>
    <x v="77"/>
    <s v="CUST119"/>
    <x v="9"/>
    <s v="Kavya Joshi"/>
    <x v="13"/>
    <x v="2"/>
    <n v="1"/>
    <n v="42193.47"/>
    <n v="42193.47"/>
    <n v="42193.47"/>
    <x v="2"/>
    <s v="Nagpur"/>
    <x v="2"/>
    <s v="Cash"/>
    <s v="Completed"/>
  </r>
  <r>
    <s v="ORD1296"/>
    <x v="163"/>
    <s v="CUST101"/>
    <x v="6"/>
    <s v="Aditya More"/>
    <x v="5"/>
    <x v="3"/>
    <n v="3"/>
    <n v="864.57"/>
    <n v="2593.71"/>
    <n v="2593.71"/>
    <x v="2"/>
    <s v="Nagpur"/>
    <x v="0"/>
    <s v="UPI"/>
    <s v="Returned"/>
  </r>
  <r>
    <s v="ORD1297"/>
    <x v="164"/>
    <s v="CUST120"/>
    <x v="6"/>
    <s v="Aditya More"/>
    <x v="4"/>
    <x v="3"/>
    <n v="4"/>
    <n v="3465.24"/>
    <n v="13860.96"/>
    <n v="13860.96"/>
    <x v="5"/>
    <s v="Navi Mumbai"/>
    <x v="1"/>
    <s v="Credit Card"/>
    <s v="Cancelled"/>
  </r>
  <r>
    <s v="ORD1298"/>
    <x v="165"/>
    <s v="CUST112"/>
    <x v="17"/>
    <s v="Pooja Chavan"/>
    <x v="10"/>
    <x v="4"/>
    <n v="3"/>
    <n v="8297.1200000000008"/>
    <n v="24891.360000000001"/>
    <n v="24891.360000000001"/>
    <x v="3"/>
    <s v="Aurangabad"/>
    <x v="4"/>
    <s v="Debit Card"/>
    <s v="Cancelled"/>
  </r>
  <r>
    <s v="ORD1299"/>
    <x v="166"/>
    <s v="CUST116"/>
    <x v="3"/>
    <s v="Karan Mehta"/>
    <x v="8"/>
    <x v="3"/>
    <n v="4"/>
    <n v="2185.04"/>
    <n v="8740.16"/>
    <n v="8740.16"/>
    <x v="2"/>
    <s v="Nagpur"/>
    <x v="4"/>
    <s v="Debit Card"/>
    <s v="Completed"/>
  </r>
  <r>
    <s v="ORD1300"/>
    <x v="13"/>
    <s v="CUST105"/>
    <x v="1"/>
    <s v="Aarav Sharma"/>
    <x v="12"/>
    <x v="4"/>
    <n v="1"/>
    <n v="12150.06"/>
    <n v="12150.06"/>
    <n v="12150.06"/>
    <x v="3"/>
    <s v="Aurangabad"/>
    <x v="3"/>
    <s v="Net Banking"/>
    <s v="Cance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D3A8C-88DC-48F4-97E3-A6404E177E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9" firstHeaderRow="1" firstDataRow="1" firstDataCol="1"/>
  <pivotFields count="18">
    <pivotField showAll="0"/>
    <pivotField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29423-AA24-448F-B64E-D3EAD9D0A8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12" firstHeaderRow="1" firstDataRow="1" firstDataCol="1"/>
  <pivotFields count="18">
    <pivotField showAll="0"/>
    <pivotField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3"/>
        <item x="7"/>
        <item x="6"/>
        <item x="2"/>
        <item x="0"/>
        <item x="5"/>
        <item x="1"/>
        <item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6C835-C730-42B7-BF73-EFAAD063B3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Name">
  <location ref="A3:B19" firstHeaderRow="1" firstDataRow="1" firstDataCol="1"/>
  <pivotFields count="18">
    <pivotField showAll="0"/>
    <pivotField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showAll="0"/>
    <pivotField showAll="0"/>
    <pivotField axis="axisRow" showAll="0">
      <items count="16">
        <item x="0"/>
        <item x="14"/>
        <item x="12"/>
        <item x="7"/>
        <item x="8"/>
        <item x="6"/>
        <item x="13"/>
        <item x="3"/>
        <item x="2"/>
        <item x="10"/>
        <item x="9"/>
        <item x="4"/>
        <item x="11"/>
        <item x="5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F559B-E4A3-46D4-A4F1-0533554C54B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18">
    <pivotField showAll="0"/>
    <pivotField axis="axisRow"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55F40-AC39-4B92-B6AC-91EC23478B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8">
    <pivotField showAll="0"/>
    <pivotField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04DE2-0242-4264-BD48-9A428574FC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18">
    <pivotField showAll="0"/>
    <pivotField numFmtId="14" showAll="0">
      <items count="168">
        <item x="15"/>
        <item x="55"/>
        <item x="142"/>
        <item x="74"/>
        <item x="62"/>
        <item x="46"/>
        <item x="47"/>
        <item x="41"/>
        <item x="140"/>
        <item x="66"/>
        <item x="155"/>
        <item x="33"/>
        <item x="79"/>
        <item x="59"/>
        <item x="34"/>
        <item x="120"/>
        <item x="25"/>
        <item x="95"/>
        <item x="98"/>
        <item x="125"/>
        <item x="135"/>
        <item x="80"/>
        <item x="19"/>
        <item x="24"/>
        <item x="136"/>
        <item x="12"/>
        <item x="133"/>
        <item x="54"/>
        <item x="60"/>
        <item x="94"/>
        <item x="3"/>
        <item x="9"/>
        <item x="65"/>
        <item x="149"/>
        <item x="162"/>
        <item x="52"/>
        <item x="2"/>
        <item x="130"/>
        <item x="20"/>
        <item x="13"/>
        <item x="158"/>
        <item x="22"/>
        <item x="92"/>
        <item x="103"/>
        <item x="18"/>
        <item x="70"/>
        <item x="56"/>
        <item x="128"/>
        <item x="161"/>
        <item x="30"/>
        <item x="124"/>
        <item x="0"/>
        <item x="89"/>
        <item x="31"/>
        <item x="78"/>
        <item x="90"/>
        <item x="109"/>
        <item x="138"/>
        <item x="131"/>
        <item x="150"/>
        <item x="71"/>
        <item x="72"/>
        <item x="113"/>
        <item x="8"/>
        <item x="6"/>
        <item x="75"/>
        <item x="4"/>
        <item x="132"/>
        <item x="63"/>
        <item x="64"/>
        <item x="35"/>
        <item x="87"/>
        <item x="117"/>
        <item x="110"/>
        <item x="127"/>
        <item x="1"/>
        <item x="42"/>
        <item x="116"/>
        <item x="145"/>
        <item x="53"/>
        <item x="27"/>
        <item x="82"/>
        <item x="76"/>
        <item x="61"/>
        <item x="91"/>
        <item x="58"/>
        <item x="146"/>
        <item x="123"/>
        <item x="29"/>
        <item x="141"/>
        <item x="122"/>
        <item x="16"/>
        <item x="49"/>
        <item x="143"/>
        <item x="21"/>
        <item x="154"/>
        <item x="165"/>
        <item x="5"/>
        <item x="159"/>
        <item x="83"/>
        <item x="14"/>
        <item x="36"/>
        <item x="134"/>
        <item x="126"/>
        <item x="81"/>
        <item x="84"/>
        <item x="17"/>
        <item x="107"/>
        <item x="152"/>
        <item x="38"/>
        <item x="102"/>
        <item x="67"/>
        <item x="139"/>
        <item x="119"/>
        <item x="40"/>
        <item x="151"/>
        <item x="112"/>
        <item x="26"/>
        <item x="48"/>
        <item x="51"/>
        <item x="97"/>
        <item x="86"/>
        <item x="144"/>
        <item x="99"/>
        <item x="153"/>
        <item x="129"/>
        <item x="164"/>
        <item x="137"/>
        <item x="68"/>
        <item x="73"/>
        <item x="101"/>
        <item x="85"/>
        <item x="148"/>
        <item x="39"/>
        <item x="114"/>
        <item x="77"/>
        <item x="111"/>
        <item x="88"/>
        <item x="10"/>
        <item x="105"/>
        <item x="106"/>
        <item x="96"/>
        <item x="166"/>
        <item x="156"/>
        <item x="121"/>
        <item x="69"/>
        <item x="43"/>
        <item x="118"/>
        <item x="7"/>
        <item x="28"/>
        <item x="104"/>
        <item x="93"/>
        <item x="100"/>
        <item x="37"/>
        <item x="45"/>
        <item x="108"/>
        <item x="157"/>
        <item x="23"/>
        <item x="163"/>
        <item x="160"/>
        <item x="32"/>
        <item x="50"/>
        <item x="44"/>
        <item x="147"/>
        <item x="11"/>
        <item x="115"/>
        <item x="57"/>
        <item t="default"/>
      </items>
    </pivotField>
    <pivotField showAll="0"/>
    <pivotField axis="axisRow" showAll="0" sortType="descending">
      <items count="22">
        <item x="7"/>
        <item x="1"/>
        <item x="6"/>
        <item x="20"/>
        <item x="16"/>
        <item x="4"/>
        <item x="3"/>
        <item x="9"/>
        <item x="13"/>
        <item x="0"/>
        <item x="10"/>
        <item x="15"/>
        <item x="17"/>
        <item x="18"/>
        <item x="8"/>
        <item x="2"/>
        <item x="14"/>
        <item x="5"/>
        <item x="12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22">
    <i>
      <x v="5"/>
    </i>
    <i>
      <x v="12"/>
    </i>
    <i>
      <x v="1"/>
    </i>
    <i>
      <x v="16"/>
    </i>
    <i>
      <x v="6"/>
    </i>
    <i>
      <x v="13"/>
    </i>
    <i>
      <x v="14"/>
    </i>
    <i>
      <x v="4"/>
    </i>
    <i>
      <x v="11"/>
    </i>
    <i>
      <x v="8"/>
    </i>
    <i>
      <x v="20"/>
    </i>
    <i>
      <x v="19"/>
    </i>
    <i>
      <x v="15"/>
    </i>
    <i>
      <x v="3"/>
    </i>
    <i>
      <x v="7"/>
    </i>
    <i>
      <x v="17"/>
    </i>
    <i>
      <x v="2"/>
    </i>
    <i>
      <x v="18"/>
    </i>
    <i>
      <x v="10"/>
    </i>
    <i>
      <x v="9"/>
    </i>
    <i>
      <x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911C-2123-4603-944D-B05AE642D5E5}">
  <dimension ref="A1:L301"/>
  <sheetViews>
    <sheetView tabSelected="1" workbookViewId="0">
      <selection activeCell="D8" sqref="D8"/>
    </sheetView>
  </sheetViews>
  <sheetFormatPr defaultRowHeight="14.4" x14ac:dyDescent="0.3"/>
  <cols>
    <col min="1" max="1" width="8.6640625" bestFit="1" customWidth="1"/>
    <col min="2" max="2" width="16.77734375" style="3" bestFit="1" customWidth="1"/>
    <col min="3" max="3" width="16.109375" customWidth="1"/>
    <col min="4" max="4" width="21" bestFit="1" customWidth="1"/>
    <col min="5" max="5" width="13.77734375" bestFit="1" customWidth="1"/>
    <col min="6" max="6" width="10.44140625" bestFit="1" customWidth="1"/>
    <col min="7" max="7" width="8.33203125" bestFit="1" customWidth="1"/>
    <col min="8" max="8" width="9.6640625" bestFit="1" customWidth="1"/>
    <col min="9" max="9" width="17.109375" customWidth="1"/>
    <col min="10" max="10" width="11.77734375" customWidth="1"/>
    <col min="11" max="11" width="22.33203125" bestFit="1" customWidth="1"/>
    <col min="12" max="12" width="12" bestFit="1" customWidth="1"/>
  </cols>
  <sheetData>
    <row r="1" spans="1:12" x14ac:dyDescent="0.3">
      <c r="A1" s="1" t="s">
        <v>0</v>
      </c>
      <c r="B1" s="2" t="s">
        <v>1</v>
      </c>
      <c r="C1" s="1" t="s">
        <v>410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3">
        <v>46093</v>
      </c>
      <c r="C2" t="s">
        <v>411</v>
      </c>
      <c r="D2" t="s">
        <v>332</v>
      </c>
      <c r="E2" t="s">
        <v>354</v>
      </c>
      <c r="F2" t="s">
        <v>369</v>
      </c>
      <c r="G2">
        <v>1</v>
      </c>
      <c r="H2">
        <v>1629</v>
      </c>
      <c r="I2">
        <v>1629</v>
      </c>
      <c r="J2" t="s">
        <v>374</v>
      </c>
      <c r="K2" t="s">
        <v>383</v>
      </c>
      <c r="L2" t="s">
        <v>389</v>
      </c>
    </row>
    <row r="3" spans="1:12" x14ac:dyDescent="0.3">
      <c r="A3" t="s">
        <v>13</v>
      </c>
      <c r="B3" s="3">
        <v>46131</v>
      </c>
      <c r="C3" t="s">
        <v>412</v>
      </c>
      <c r="D3" t="s">
        <v>333</v>
      </c>
      <c r="E3" t="s">
        <v>355</v>
      </c>
      <c r="F3" t="s">
        <v>369</v>
      </c>
      <c r="G3">
        <v>5</v>
      </c>
      <c r="H3">
        <v>642.16999999999996</v>
      </c>
      <c r="I3">
        <v>3210.85</v>
      </c>
      <c r="J3" t="s">
        <v>375</v>
      </c>
      <c r="K3" t="s">
        <v>384</v>
      </c>
      <c r="L3" t="s">
        <v>390</v>
      </c>
    </row>
    <row r="4" spans="1:12" x14ac:dyDescent="0.3">
      <c r="A4" t="s">
        <v>14</v>
      </c>
      <c r="B4" s="3">
        <v>46073</v>
      </c>
      <c r="C4" t="s">
        <v>413</v>
      </c>
      <c r="D4" t="s">
        <v>334</v>
      </c>
      <c r="E4" t="s">
        <v>356</v>
      </c>
      <c r="F4" t="s">
        <v>370</v>
      </c>
      <c r="G4">
        <v>5</v>
      </c>
      <c r="H4">
        <v>108.64</v>
      </c>
      <c r="I4">
        <v>543.20000000000005</v>
      </c>
      <c r="J4" t="s">
        <v>376</v>
      </c>
      <c r="K4" t="s">
        <v>385</v>
      </c>
      <c r="L4" t="s">
        <v>391</v>
      </c>
    </row>
    <row r="5" spans="1:12" x14ac:dyDescent="0.3">
      <c r="A5" t="s">
        <v>15</v>
      </c>
      <c r="B5" s="3">
        <v>46063</v>
      </c>
      <c r="C5" t="s">
        <v>414</v>
      </c>
      <c r="D5" t="s">
        <v>335</v>
      </c>
      <c r="E5" t="s">
        <v>357</v>
      </c>
      <c r="F5" t="s">
        <v>371</v>
      </c>
      <c r="G5">
        <v>1</v>
      </c>
      <c r="H5">
        <v>946.59</v>
      </c>
      <c r="I5">
        <v>946.59</v>
      </c>
      <c r="J5" t="s">
        <v>377</v>
      </c>
      <c r="K5" t="s">
        <v>384</v>
      </c>
      <c r="L5" t="s">
        <v>390</v>
      </c>
    </row>
    <row r="6" spans="1:12" x14ac:dyDescent="0.3">
      <c r="A6" t="s">
        <v>16</v>
      </c>
      <c r="B6" s="3">
        <v>46120</v>
      </c>
      <c r="C6" t="s">
        <v>415</v>
      </c>
      <c r="D6" t="s">
        <v>336</v>
      </c>
      <c r="E6" t="s">
        <v>358</v>
      </c>
      <c r="F6" t="s">
        <v>372</v>
      </c>
      <c r="G6">
        <v>3</v>
      </c>
      <c r="H6">
        <v>2945.41</v>
      </c>
      <c r="I6">
        <v>8836.23</v>
      </c>
      <c r="J6" t="s">
        <v>378</v>
      </c>
      <c r="K6" t="s">
        <v>386</v>
      </c>
      <c r="L6" t="s">
        <v>390</v>
      </c>
    </row>
    <row r="7" spans="1:12" x14ac:dyDescent="0.3">
      <c r="A7" t="s">
        <v>17</v>
      </c>
      <c r="B7" s="3">
        <v>46160</v>
      </c>
      <c r="C7" t="s">
        <v>416</v>
      </c>
      <c r="D7" t="s">
        <v>337</v>
      </c>
      <c r="E7" t="s">
        <v>358</v>
      </c>
      <c r="F7" t="s">
        <v>372</v>
      </c>
      <c r="G7">
        <v>1</v>
      </c>
      <c r="H7">
        <v>3347.03</v>
      </c>
      <c r="I7">
        <v>3347.03</v>
      </c>
      <c r="J7" t="s">
        <v>375</v>
      </c>
      <c r="K7" t="s">
        <v>386</v>
      </c>
      <c r="L7" t="s">
        <v>390</v>
      </c>
    </row>
    <row r="8" spans="1:12" x14ac:dyDescent="0.3">
      <c r="A8" t="s">
        <v>18</v>
      </c>
      <c r="B8" s="3">
        <v>46115</v>
      </c>
      <c r="C8" t="s">
        <v>417</v>
      </c>
      <c r="D8" t="s">
        <v>338</v>
      </c>
      <c r="E8" t="s">
        <v>359</v>
      </c>
      <c r="F8" t="s">
        <v>372</v>
      </c>
      <c r="G8">
        <v>5</v>
      </c>
      <c r="H8">
        <v>969.38</v>
      </c>
      <c r="I8">
        <v>4846.8999999999996</v>
      </c>
      <c r="J8" t="s">
        <v>375</v>
      </c>
      <c r="K8" t="s">
        <v>383</v>
      </c>
      <c r="L8" t="s">
        <v>389</v>
      </c>
    </row>
    <row r="9" spans="1:12" x14ac:dyDescent="0.3">
      <c r="A9" t="s">
        <v>19</v>
      </c>
      <c r="B9" s="3">
        <v>46241</v>
      </c>
      <c r="C9" t="s">
        <v>418</v>
      </c>
      <c r="D9" t="s">
        <v>344</v>
      </c>
      <c r="E9" t="s">
        <v>360</v>
      </c>
      <c r="F9" t="s">
        <v>371</v>
      </c>
      <c r="G9">
        <v>3</v>
      </c>
      <c r="H9">
        <v>1974.68</v>
      </c>
      <c r="I9">
        <v>5924.04</v>
      </c>
      <c r="J9" t="s">
        <v>379</v>
      </c>
      <c r="K9" t="s">
        <v>387</v>
      </c>
      <c r="L9" t="s">
        <v>390</v>
      </c>
    </row>
    <row r="10" spans="1:12" x14ac:dyDescent="0.3">
      <c r="A10" t="s">
        <v>20</v>
      </c>
      <c r="B10" s="3">
        <v>46113</v>
      </c>
      <c r="C10" t="s">
        <v>419</v>
      </c>
      <c r="D10" t="s">
        <v>340</v>
      </c>
      <c r="E10" t="s">
        <v>354</v>
      </c>
      <c r="F10" t="s">
        <v>369</v>
      </c>
      <c r="G10">
        <v>3</v>
      </c>
      <c r="H10">
        <v>1678.56</v>
      </c>
      <c r="I10">
        <v>5035.68</v>
      </c>
      <c r="J10" t="s">
        <v>375</v>
      </c>
      <c r="K10" t="s">
        <v>386</v>
      </c>
      <c r="L10" t="s">
        <v>389</v>
      </c>
    </row>
    <row r="11" spans="1:12" x14ac:dyDescent="0.3">
      <c r="A11" t="s">
        <v>21</v>
      </c>
      <c r="B11" s="3">
        <v>46064</v>
      </c>
      <c r="C11" t="s">
        <v>416</v>
      </c>
      <c r="D11" t="s">
        <v>337</v>
      </c>
      <c r="E11" t="s">
        <v>361</v>
      </c>
      <c r="F11" t="s">
        <v>371</v>
      </c>
      <c r="G11">
        <v>5</v>
      </c>
      <c r="H11">
        <v>2614.56</v>
      </c>
      <c r="I11">
        <v>13072.8</v>
      </c>
      <c r="J11" t="s">
        <v>377</v>
      </c>
      <c r="K11" t="s">
        <v>386</v>
      </c>
      <c r="L11" t="s">
        <v>390</v>
      </c>
    </row>
    <row r="12" spans="1:12" x14ac:dyDescent="0.3">
      <c r="A12" t="s">
        <v>22</v>
      </c>
      <c r="B12" s="3">
        <v>46221</v>
      </c>
      <c r="C12" t="s">
        <v>411</v>
      </c>
      <c r="D12" t="s">
        <v>332</v>
      </c>
      <c r="E12" t="s">
        <v>354</v>
      </c>
      <c r="F12" t="s">
        <v>369</v>
      </c>
      <c r="G12">
        <v>3</v>
      </c>
      <c r="H12">
        <v>1923.43</v>
      </c>
      <c r="I12">
        <v>5770.29</v>
      </c>
      <c r="J12" t="s">
        <v>380</v>
      </c>
      <c r="K12" t="s">
        <v>387</v>
      </c>
      <c r="L12" t="s">
        <v>390</v>
      </c>
    </row>
    <row r="13" spans="1:12" x14ac:dyDescent="0.3">
      <c r="A13" t="s">
        <v>23</v>
      </c>
      <c r="B13" s="3">
        <v>46264</v>
      </c>
      <c r="C13" t="s">
        <v>414</v>
      </c>
      <c r="D13" t="s">
        <v>335</v>
      </c>
      <c r="E13" t="s">
        <v>357</v>
      </c>
      <c r="F13" t="s">
        <v>371</v>
      </c>
      <c r="G13">
        <v>1</v>
      </c>
      <c r="H13">
        <v>847.98</v>
      </c>
      <c r="I13">
        <v>847.98</v>
      </c>
      <c r="J13" t="s">
        <v>376</v>
      </c>
      <c r="K13" t="s">
        <v>385</v>
      </c>
      <c r="L13" t="s">
        <v>390</v>
      </c>
    </row>
    <row r="14" spans="1:12" x14ac:dyDescent="0.3">
      <c r="A14" t="s">
        <v>24</v>
      </c>
      <c r="B14" s="3">
        <v>46058</v>
      </c>
      <c r="C14" t="s">
        <v>420</v>
      </c>
      <c r="D14" t="s">
        <v>341</v>
      </c>
      <c r="E14" t="s">
        <v>362</v>
      </c>
      <c r="F14" t="s">
        <v>372</v>
      </c>
      <c r="G14">
        <v>4</v>
      </c>
      <c r="H14">
        <v>2042.86</v>
      </c>
      <c r="I14">
        <v>8171.44</v>
      </c>
      <c r="J14" t="s">
        <v>377</v>
      </c>
      <c r="K14" t="s">
        <v>386</v>
      </c>
      <c r="L14" t="s">
        <v>390</v>
      </c>
    </row>
    <row r="15" spans="1:12" x14ac:dyDescent="0.3">
      <c r="A15" t="s">
        <v>25</v>
      </c>
      <c r="B15" s="3">
        <v>46079</v>
      </c>
      <c r="C15" t="s">
        <v>421</v>
      </c>
      <c r="D15" t="s">
        <v>342</v>
      </c>
      <c r="E15" t="s">
        <v>362</v>
      </c>
      <c r="F15" t="s">
        <v>372</v>
      </c>
      <c r="G15">
        <v>5</v>
      </c>
      <c r="H15">
        <v>2155.7399999999998</v>
      </c>
      <c r="I15">
        <v>10778.699999999999</v>
      </c>
      <c r="J15" t="s">
        <v>381</v>
      </c>
      <c r="K15" t="s">
        <v>383</v>
      </c>
      <c r="L15" t="s">
        <v>390</v>
      </c>
    </row>
    <row r="16" spans="1:12" x14ac:dyDescent="0.3">
      <c r="A16" t="s">
        <v>26</v>
      </c>
      <c r="B16" s="3">
        <v>46063</v>
      </c>
      <c r="C16" t="s">
        <v>422</v>
      </c>
      <c r="D16" t="s">
        <v>343</v>
      </c>
      <c r="E16" t="s">
        <v>359</v>
      </c>
      <c r="F16" t="s">
        <v>372</v>
      </c>
      <c r="G16">
        <v>1</v>
      </c>
      <c r="H16">
        <v>837.51</v>
      </c>
      <c r="I16">
        <v>837.51</v>
      </c>
      <c r="J16" t="s">
        <v>375</v>
      </c>
      <c r="K16" t="s">
        <v>385</v>
      </c>
      <c r="L16" t="s">
        <v>390</v>
      </c>
    </row>
    <row r="17" spans="1:12" x14ac:dyDescent="0.3">
      <c r="A17" t="s">
        <v>27</v>
      </c>
      <c r="B17" s="3">
        <v>46164</v>
      </c>
      <c r="C17" t="s">
        <v>423</v>
      </c>
      <c r="D17" t="s">
        <v>344</v>
      </c>
      <c r="E17" t="s">
        <v>363</v>
      </c>
      <c r="F17" t="s">
        <v>370</v>
      </c>
      <c r="G17">
        <v>4</v>
      </c>
      <c r="H17">
        <v>251.46</v>
      </c>
      <c r="I17">
        <v>1005.84</v>
      </c>
      <c r="J17" t="s">
        <v>377</v>
      </c>
      <c r="K17" t="s">
        <v>387</v>
      </c>
      <c r="L17" t="s">
        <v>390</v>
      </c>
    </row>
    <row r="18" spans="1:12" x14ac:dyDescent="0.3">
      <c r="A18" t="s">
        <v>28</v>
      </c>
      <c r="B18" s="3">
        <v>46023</v>
      </c>
      <c r="C18" t="s">
        <v>421</v>
      </c>
      <c r="D18" t="s">
        <v>342</v>
      </c>
      <c r="E18" t="s">
        <v>357</v>
      </c>
      <c r="F18" t="s">
        <v>371</v>
      </c>
      <c r="G18">
        <v>4</v>
      </c>
      <c r="H18">
        <v>838.47</v>
      </c>
      <c r="I18">
        <v>3353.88</v>
      </c>
      <c r="J18" t="s">
        <v>374</v>
      </c>
      <c r="K18" t="s">
        <v>386</v>
      </c>
      <c r="L18" t="s">
        <v>390</v>
      </c>
    </row>
    <row r="19" spans="1:12" x14ac:dyDescent="0.3">
      <c r="A19" t="s">
        <v>29</v>
      </c>
      <c r="B19" s="3">
        <v>46152</v>
      </c>
      <c r="C19" t="s">
        <v>417</v>
      </c>
      <c r="D19" t="s">
        <v>338</v>
      </c>
      <c r="E19" t="s">
        <v>359</v>
      </c>
      <c r="F19" t="s">
        <v>372</v>
      </c>
      <c r="G19">
        <v>3</v>
      </c>
      <c r="H19">
        <v>961.5</v>
      </c>
      <c r="I19">
        <v>2884.5</v>
      </c>
      <c r="J19" t="s">
        <v>374</v>
      </c>
      <c r="K19" t="s">
        <v>387</v>
      </c>
      <c r="L19" t="s">
        <v>390</v>
      </c>
    </row>
    <row r="20" spans="1:12" x14ac:dyDescent="0.3">
      <c r="A20" t="s">
        <v>30</v>
      </c>
      <c r="B20" s="3">
        <v>46176</v>
      </c>
      <c r="C20" t="s">
        <v>424</v>
      </c>
      <c r="D20" t="s">
        <v>345</v>
      </c>
      <c r="E20" t="s">
        <v>356</v>
      </c>
      <c r="F20" t="s">
        <v>370</v>
      </c>
      <c r="G20">
        <v>5</v>
      </c>
      <c r="H20">
        <v>130.04</v>
      </c>
      <c r="I20">
        <v>650.19999999999993</v>
      </c>
      <c r="J20" t="s">
        <v>380</v>
      </c>
      <c r="K20" t="s">
        <v>383</v>
      </c>
      <c r="L20" t="s">
        <v>390</v>
      </c>
    </row>
    <row r="21" spans="1:12" x14ac:dyDescent="0.3">
      <c r="A21" t="s">
        <v>31</v>
      </c>
      <c r="B21" s="3">
        <v>46084</v>
      </c>
      <c r="C21" t="s">
        <v>425</v>
      </c>
      <c r="D21" t="s">
        <v>346</v>
      </c>
      <c r="E21" t="s">
        <v>362</v>
      </c>
      <c r="F21" t="s">
        <v>372</v>
      </c>
      <c r="G21">
        <v>3</v>
      </c>
      <c r="H21">
        <v>2085.36</v>
      </c>
      <c r="I21">
        <v>6256.08</v>
      </c>
      <c r="J21" t="s">
        <v>375</v>
      </c>
      <c r="K21" t="s">
        <v>385</v>
      </c>
      <c r="L21" t="s">
        <v>390</v>
      </c>
    </row>
    <row r="22" spans="1:12" x14ac:dyDescent="0.3">
      <c r="A22" t="s">
        <v>32</v>
      </c>
      <c r="B22" s="3">
        <v>46055</v>
      </c>
      <c r="C22" t="s">
        <v>420</v>
      </c>
      <c r="D22" t="s">
        <v>341</v>
      </c>
      <c r="E22" t="s">
        <v>358</v>
      </c>
      <c r="F22" t="s">
        <v>372</v>
      </c>
      <c r="G22">
        <v>5</v>
      </c>
      <c r="H22">
        <v>3370.13</v>
      </c>
      <c r="I22">
        <v>16850.650000000001</v>
      </c>
      <c r="J22" t="s">
        <v>374</v>
      </c>
      <c r="K22" t="s">
        <v>387</v>
      </c>
      <c r="L22" t="s">
        <v>391</v>
      </c>
    </row>
    <row r="23" spans="1:12" x14ac:dyDescent="0.3">
      <c r="A23" t="s">
        <v>33</v>
      </c>
      <c r="B23" s="3">
        <v>46077</v>
      </c>
      <c r="C23" t="s">
        <v>417</v>
      </c>
      <c r="D23" t="s">
        <v>338</v>
      </c>
      <c r="E23" t="s">
        <v>359</v>
      </c>
      <c r="F23" t="s">
        <v>372</v>
      </c>
      <c r="G23">
        <v>5</v>
      </c>
      <c r="H23">
        <v>886.16</v>
      </c>
      <c r="I23">
        <v>4430.8</v>
      </c>
      <c r="J23" t="s">
        <v>377</v>
      </c>
      <c r="K23" t="s">
        <v>385</v>
      </c>
      <c r="L23" t="s">
        <v>389</v>
      </c>
    </row>
    <row r="24" spans="1:12" x14ac:dyDescent="0.3">
      <c r="A24" t="s">
        <v>34</v>
      </c>
      <c r="B24" s="3">
        <v>46155</v>
      </c>
      <c r="C24" t="s">
        <v>423</v>
      </c>
      <c r="D24" t="s">
        <v>344</v>
      </c>
      <c r="E24" t="s">
        <v>354</v>
      </c>
      <c r="F24" t="s">
        <v>369</v>
      </c>
      <c r="G24">
        <v>3</v>
      </c>
      <c r="H24">
        <v>1777.72</v>
      </c>
      <c r="I24">
        <v>5333.16</v>
      </c>
      <c r="J24" t="s">
        <v>376</v>
      </c>
      <c r="K24" t="s">
        <v>384</v>
      </c>
      <c r="L24" t="s">
        <v>390</v>
      </c>
    </row>
    <row r="25" spans="1:12" x14ac:dyDescent="0.3">
      <c r="A25" t="s">
        <v>35</v>
      </c>
      <c r="B25" s="3">
        <v>46081</v>
      </c>
      <c r="C25" t="s">
        <v>411</v>
      </c>
      <c r="D25" t="s">
        <v>332</v>
      </c>
      <c r="E25" t="s">
        <v>364</v>
      </c>
      <c r="F25" t="s">
        <v>373</v>
      </c>
      <c r="G25">
        <v>1</v>
      </c>
      <c r="H25">
        <v>8650.1200000000008</v>
      </c>
      <c r="I25">
        <v>8650.1200000000008</v>
      </c>
      <c r="J25" t="s">
        <v>380</v>
      </c>
      <c r="K25" t="s">
        <v>383</v>
      </c>
      <c r="L25" t="s">
        <v>389</v>
      </c>
    </row>
    <row r="26" spans="1:12" x14ac:dyDescent="0.3">
      <c r="A26" t="s">
        <v>36</v>
      </c>
      <c r="B26" s="3">
        <v>46254</v>
      </c>
      <c r="C26" t="s">
        <v>414</v>
      </c>
      <c r="D26" t="s">
        <v>335</v>
      </c>
      <c r="E26" t="s">
        <v>354</v>
      </c>
      <c r="F26" t="s">
        <v>369</v>
      </c>
      <c r="G26">
        <v>1</v>
      </c>
      <c r="H26">
        <v>1702.42</v>
      </c>
      <c r="I26">
        <v>1702.42</v>
      </c>
      <c r="J26" t="s">
        <v>375</v>
      </c>
      <c r="K26" t="s">
        <v>386</v>
      </c>
      <c r="L26" t="s">
        <v>390</v>
      </c>
    </row>
    <row r="27" spans="1:12" x14ac:dyDescent="0.3">
      <c r="A27" t="s">
        <v>37</v>
      </c>
      <c r="B27" s="3">
        <v>46056</v>
      </c>
      <c r="C27" t="s">
        <v>426</v>
      </c>
      <c r="D27" t="s">
        <v>347</v>
      </c>
      <c r="E27" t="s">
        <v>357</v>
      </c>
      <c r="F27" t="s">
        <v>371</v>
      </c>
      <c r="G27">
        <v>4</v>
      </c>
      <c r="H27">
        <v>848.56</v>
      </c>
      <c r="I27">
        <v>3394.24</v>
      </c>
      <c r="J27" t="s">
        <v>380</v>
      </c>
      <c r="K27" t="s">
        <v>384</v>
      </c>
      <c r="L27" t="s">
        <v>390</v>
      </c>
    </row>
    <row r="28" spans="1:12" x14ac:dyDescent="0.3">
      <c r="A28" t="s">
        <v>38</v>
      </c>
      <c r="B28" s="3">
        <v>46047</v>
      </c>
      <c r="C28" t="s">
        <v>415</v>
      </c>
      <c r="D28" t="s">
        <v>336</v>
      </c>
      <c r="E28" t="s">
        <v>358</v>
      </c>
      <c r="F28" t="s">
        <v>372</v>
      </c>
      <c r="G28">
        <v>4</v>
      </c>
      <c r="H28">
        <v>3001.86</v>
      </c>
      <c r="I28">
        <v>12007.44</v>
      </c>
      <c r="J28" t="s">
        <v>379</v>
      </c>
      <c r="K28" t="s">
        <v>385</v>
      </c>
      <c r="L28" t="s">
        <v>390</v>
      </c>
    </row>
    <row r="29" spans="1:12" x14ac:dyDescent="0.3">
      <c r="A29" t="s">
        <v>39</v>
      </c>
      <c r="B29" s="3">
        <v>46188</v>
      </c>
      <c r="C29" t="s">
        <v>427</v>
      </c>
      <c r="D29" t="s">
        <v>348</v>
      </c>
      <c r="E29" t="s">
        <v>359</v>
      </c>
      <c r="F29" t="s">
        <v>372</v>
      </c>
      <c r="G29">
        <v>1</v>
      </c>
      <c r="H29">
        <v>931.21</v>
      </c>
      <c r="I29">
        <v>931.21</v>
      </c>
      <c r="J29" t="s">
        <v>379</v>
      </c>
      <c r="K29" t="s">
        <v>387</v>
      </c>
      <c r="L29" t="s">
        <v>390</v>
      </c>
    </row>
    <row r="30" spans="1:12" x14ac:dyDescent="0.3">
      <c r="A30" t="s">
        <v>40</v>
      </c>
      <c r="B30" s="3">
        <v>46137</v>
      </c>
      <c r="C30" t="s">
        <v>413</v>
      </c>
      <c r="D30" t="s">
        <v>334</v>
      </c>
      <c r="E30" t="s">
        <v>360</v>
      </c>
      <c r="F30" t="s">
        <v>371</v>
      </c>
      <c r="G30">
        <v>2</v>
      </c>
      <c r="H30">
        <v>1688.48</v>
      </c>
      <c r="I30">
        <v>3376.96</v>
      </c>
      <c r="J30" t="s">
        <v>374</v>
      </c>
      <c r="K30" t="s">
        <v>387</v>
      </c>
      <c r="L30" t="s">
        <v>390</v>
      </c>
    </row>
    <row r="31" spans="1:12" x14ac:dyDescent="0.3">
      <c r="A31" t="s">
        <v>41</v>
      </c>
      <c r="B31" s="3">
        <v>46243</v>
      </c>
      <c r="C31" t="s">
        <v>423</v>
      </c>
      <c r="D31" t="s">
        <v>344</v>
      </c>
      <c r="E31" t="s">
        <v>360</v>
      </c>
      <c r="F31" t="s">
        <v>371</v>
      </c>
      <c r="G31">
        <v>1</v>
      </c>
      <c r="H31">
        <v>1779.53</v>
      </c>
      <c r="I31">
        <v>1779.53</v>
      </c>
      <c r="J31" t="s">
        <v>380</v>
      </c>
      <c r="K31" t="s">
        <v>386</v>
      </c>
      <c r="L31" t="s">
        <v>390</v>
      </c>
    </row>
    <row r="32" spans="1:12" x14ac:dyDescent="0.3">
      <c r="A32" t="s">
        <v>42</v>
      </c>
      <c r="B32" s="3">
        <v>46147</v>
      </c>
      <c r="C32" t="s">
        <v>417</v>
      </c>
      <c r="D32" t="s">
        <v>338</v>
      </c>
      <c r="E32" t="s">
        <v>365</v>
      </c>
      <c r="F32" t="s">
        <v>371</v>
      </c>
      <c r="G32">
        <v>2</v>
      </c>
      <c r="H32">
        <v>26131.34</v>
      </c>
      <c r="I32">
        <v>52262.68</v>
      </c>
      <c r="J32" t="s">
        <v>379</v>
      </c>
      <c r="K32" t="s">
        <v>383</v>
      </c>
      <c r="L32" t="s">
        <v>390</v>
      </c>
    </row>
    <row r="33" spans="1:12" x14ac:dyDescent="0.3">
      <c r="A33" t="s">
        <v>43</v>
      </c>
      <c r="B33" s="3">
        <v>46090</v>
      </c>
      <c r="C33" t="s">
        <v>428</v>
      </c>
      <c r="D33" t="s">
        <v>349</v>
      </c>
      <c r="E33" t="s">
        <v>366</v>
      </c>
      <c r="F33" t="s">
        <v>373</v>
      </c>
      <c r="G33">
        <v>1</v>
      </c>
      <c r="H33">
        <v>13164.74</v>
      </c>
      <c r="I33">
        <v>13164.74</v>
      </c>
      <c r="J33" t="s">
        <v>379</v>
      </c>
      <c r="K33" t="s">
        <v>386</v>
      </c>
      <c r="L33" t="s">
        <v>389</v>
      </c>
    </row>
    <row r="34" spans="1:12" x14ac:dyDescent="0.3">
      <c r="A34" t="s">
        <v>44</v>
      </c>
      <c r="B34" s="3">
        <v>46098</v>
      </c>
      <c r="C34" t="s">
        <v>427</v>
      </c>
      <c r="D34" t="s">
        <v>348</v>
      </c>
      <c r="E34" t="s">
        <v>355</v>
      </c>
      <c r="F34" t="s">
        <v>369</v>
      </c>
      <c r="G34">
        <v>4</v>
      </c>
      <c r="H34">
        <v>651.66999999999996</v>
      </c>
      <c r="I34">
        <v>2606.6799999999998</v>
      </c>
      <c r="J34" t="s">
        <v>380</v>
      </c>
      <c r="K34" t="s">
        <v>387</v>
      </c>
      <c r="L34" t="s">
        <v>390</v>
      </c>
    </row>
    <row r="35" spans="1:12" x14ac:dyDescent="0.3">
      <c r="A35" t="s">
        <v>45</v>
      </c>
      <c r="B35" s="3">
        <v>46258</v>
      </c>
      <c r="C35" t="s">
        <v>429</v>
      </c>
      <c r="D35" t="s">
        <v>350</v>
      </c>
      <c r="E35" t="s">
        <v>367</v>
      </c>
      <c r="F35" t="s">
        <v>371</v>
      </c>
      <c r="G35">
        <v>5</v>
      </c>
      <c r="H35">
        <v>44791.1</v>
      </c>
      <c r="I35">
        <v>223955.5</v>
      </c>
      <c r="J35" t="s">
        <v>380</v>
      </c>
      <c r="K35" t="s">
        <v>386</v>
      </c>
      <c r="L35" t="s">
        <v>390</v>
      </c>
    </row>
    <row r="36" spans="1:12" x14ac:dyDescent="0.3">
      <c r="A36" t="s">
        <v>46</v>
      </c>
      <c r="B36" s="3">
        <v>46040</v>
      </c>
      <c r="C36" t="s">
        <v>416</v>
      </c>
      <c r="D36" t="s">
        <v>337</v>
      </c>
      <c r="E36" t="s">
        <v>359</v>
      </c>
      <c r="F36" t="s">
        <v>372</v>
      </c>
      <c r="G36">
        <v>2</v>
      </c>
      <c r="H36">
        <v>822.33</v>
      </c>
      <c r="I36">
        <v>1644.66</v>
      </c>
      <c r="J36" t="s">
        <v>375</v>
      </c>
      <c r="K36" t="s">
        <v>386</v>
      </c>
      <c r="L36" t="s">
        <v>390</v>
      </c>
    </row>
    <row r="37" spans="1:12" x14ac:dyDescent="0.3">
      <c r="A37" t="s">
        <v>47</v>
      </c>
      <c r="B37" s="3">
        <v>46043</v>
      </c>
      <c r="C37" t="s">
        <v>426</v>
      </c>
      <c r="D37" t="s">
        <v>347</v>
      </c>
      <c r="E37" t="s">
        <v>363</v>
      </c>
      <c r="F37" t="s">
        <v>370</v>
      </c>
      <c r="G37">
        <v>5</v>
      </c>
      <c r="H37">
        <v>226.99</v>
      </c>
      <c r="I37">
        <v>1134.95</v>
      </c>
      <c r="J37" t="s">
        <v>378</v>
      </c>
      <c r="K37" t="s">
        <v>387</v>
      </c>
      <c r="L37" t="s">
        <v>390</v>
      </c>
    </row>
    <row r="38" spans="1:12" x14ac:dyDescent="0.3">
      <c r="A38" t="s">
        <v>48</v>
      </c>
      <c r="B38" s="3">
        <v>46124</v>
      </c>
      <c r="C38" t="s">
        <v>428</v>
      </c>
      <c r="D38" t="s">
        <v>349</v>
      </c>
      <c r="E38" t="s">
        <v>354</v>
      </c>
      <c r="F38" t="s">
        <v>369</v>
      </c>
      <c r="G38">
        <v>3</v>
      </c>
      <c r="H38">
        <v>1705.93</v>
      </c>
      <c r="I38">
        <v>5117.79</v>
      </c>
      <c r="J38" t="s">
        <v>381</v>
      </c>
      <c r="K38" t="s">
        <v>387</v>
      </c>
      <c r="L38" t="s">
        <v>390</v>
      </c>
    </row>
    <row r="39" spans="1:12" x14ac:dyDescent="0.3">
      <c r="A39" t="s">
        <v>49</v>
      </c>
      <c r="B39" s="3">
        <v>46167</v>
      </c>
      <c r="C39" t="s">
        <v>425</v>
      </c>
      <c r="D39" t="s">
        <v>346</v>
      </c>
      <c r="E39" t="s">
        <v>367</v>
      </c>
      <c r="F39" t="s">
        <v>371</v>
      </c>
      <c r="G39">
        <v>4</v>
      </c>
      <c r="H39">
        <v>46090.43</v>
      </c>
      <c r="I39">
        <v>184361.72</v>
      </c>
      <c r="J39" t="s">
        <v>376</v>
      </c>
      <c r="K39" t="s">
        <v>386</v>
      </c>
      <c r="L39" t="s">
        <v>390</v>
      </c>
    </row>
    <row r="40" spans="1:12" x14ac:dyDescent="0.3">
      <c r="A40" t="s">
        <v>50</v>
      </c>
      <c r="B40" s="3">
        <v>46248</v>
      </c>
      <c r="C40" t="s">
        <v>415</v>
      </c>
      <c r="D40" t="s">
        <v>336</v>
      </c>
      <c r="E40" t="s">
        <v>361</v>
      </c>
      <c r="F40" t="s">
        <v>371</v>
      </c>
      <c r="G40">
        <v>3</v>
      </c>
      <c r="H40">
        <v>2690.43</v>
      </c>
      <c r="I40">
        <v>8071.2899999999991</v>
      </c>
      <c r="J40" t="s">
        <v>377</v>
      </c>
      <c r="K40" t="s">
        <v>384</v>
      </c>
      <c r="L40" t="s">
        <v>390</v>
      </c>
    </row>
    <row r="41" spans="1:12" x14ac:dyDescent="0.3">
      <c r="A41" t="s">
        <v>51</v>
      </c>
      <c r="B41" s="3">
        <v>46179</v>
      </c>
      <c r="C41" t="s">
        <v>412</v>
      </c>
      <c r="D41" t="s">
        <v>333</v>
      </c>
      <c r="E41" t="s">
        <v>359</v>
      </c>
      <c r="F41" t="s">
        <v>372</v>
      </c>
      <c r="G41">
        <v>5</v>
      </c>
      <c r="H41">
        <v>936.64</v>
      </c>
      <c r="I41">
        <v>4683.2</v>
      </c>
      <c r="J41" t="s">
        <v>377</v>
      </c>
      <c r="K41" t="s">
        <v>383</v>
      </c>
      <c r="L41" t="s">
        <v>390</v>
      </c>
    </row>
    <row r="42" spans="1:12" x14ac:dyDescent="0.3">
      <c r="A42" t="s">
        <v>52</v>
      </c>
      <c r="B42" s="3">
        <v>46213</v>
      </c>
      <c r="C42" t="s">
        <v>430</v>
      </c>
      <c r="D42" t="s">
        <v>351</v>
      </c>
      <c r="E42" t="s">
        <v>357</v>
      </c>
      <c r="F42" t="s">
        <v>371</v>
      </c>
      <c r="G42">
        <v>1</v>
      </c>
      <c r="H42">
        <v>970.15</v>
      </c>
      <c r="I42">
        <v>970.15</v>
      </c>
      <c r="J42" t="s">
        <v>377</v>
      </c>
      <c r="K42" t="s">
        <v>387</v>
      </c>
      <c r="L42" t="s">
        <v>391</v>
      </c>
    </row>
    <row r="43" spans="1:12" x14ac:dyDescent="0.3">
      <c r="A43" t="s">
        <v>53</v>
      </c>
      <c r="B43" s="3">
        <v>46185</v>
      </c>
      <c r="C43" t="s">
        <v>421</v>
      </c>
      <c r="D43" t="s">
        <v>342</v>
      </c>
      <c r="E43" t="s">
        <v>360</v>
      </c>
      <c r="F43" t="s">
        <v>371</v>
      </c>
      <c r="G43">
        <v>3</v>
      </c>
      <c r="H43">
        <v>1693.3</v>
      </c>
      <c r="I43">
        <v>5079.8999999999996</v>
      </c>
      <c r="J43" t="s">
        <v>381</v>
      </c>
      <c r="K43" t="s">
        <v>387</v>
      </c>
      <c r="L43" t="s">
        <v>390</v>
      </c>
    </row>
    <row r="44" spans="1:12" x14ac:dyDescent="0.3">
      <c r="A44" t="s">
        <v>54</v>
      </c>
      <c r="B44" s="3">
        <v>46034</v>
      </c>
      <c r="C44" t="s">
        <v>414</v>
      </c>
      <c r="D44" t="s">
        <v>335</v>
      </c>
      <c r="E44" t="s">
        <v>365</v>
      </c>
      <c r="F44" t="s">
        <v>371</v>
      </c>
      <c r="G44">
        <v>4</v>
      </c>
      <c r="H44">
        <v>29844.35</v>
      </c>
      <c r="I44">
        <v>119377.4</v>
      </c>
      <c r="J44" t="s">
        <v>374</v>
      </c>
      <c r="K44" t="s">
        <v>387</v>
      </c>
      <c r="L44" t="s">
        <v>390</v>
      </c>
    </row>
    <row r="45" spans="1:12" x14ac:dyDescent="0.3">
      <c r="A45" t="s">
        <v>55</v>
      </c>
      <c r="B45" s="3">
        <v>46132</v>
      </c>
      <c r="C45" t="s">
        <v>412</v>
      </c>
      <c r="D45" t="s">
        <v>333</v>
      </c>
      <c r="E45" t="s">
        <v>355</v>
      </c>
      <c r="F45" t="s">
        <v>369</v>
      </c>
      <c r="G45">
        <v>4</v>
      </c>
      <c r="H45">
        <v>707.24</v>
      </c>
      <c r="I45">
        <v>2828.96</v>
      </c>
      <c r="J45" t="s">
        <v>375</v>
      </c>
      <c r="K45" t="s">
        <v>383</v>
      </c>
      <c r="L45" t="s">
        <v>389</v>
      </c>
    </row>
    <row r="46" spans="1:12" x14ac:dyDescent="0.3">
      <c r="A46" t="s">
        <v>56</v>
      </c>
      <c r="B46" s="3">
        <v>46236</v>
      </c>
      <c r="C46" t="s">
        <v>426</v>
      </c>
      <c r="D46" t="s">
        <v>347</v>
      </c>
      <c r="E46" t="s">
        <v>362</v>
      </c>
      <c r="F46" t="s">
        <v>372</v>
      </c>
      <c r="G46">
        <v>2</v>
      </c>
      <c r="H46">
        <v>2220.06</v>
      </c>
      <c r="I46">
        <v>4440.12</v>
      </c>
      <c r="J46" t="s">
        <v>374</v>
      </c>
      <c r="K46" t="s">
        <v>385</v>
      </c>
      <c r="L46" t="s">
        <v>390</v>
      </c>
    </row>
    <row r="47" spans="1:12" x14ac:dyDescent="0.3">
      <c r="A47" t="s">
        <v>57</v>
      </c>
      <c r="B47" s="3">
        <v>46261</v>
      </c>
      <c r="C47" t="s">
        <v>415</v>
      </c>
      <c r="D47" t="s">
        <v>336</v>
      </c>
      <c r="E47" t="s">
        <v>367</v>
      </c>
      <c r="F47" t="s">
        <v>371</v>
      </c>
      <c r="G47">
        <v>3</v>
      </c>
      <c r="H47">
        <v>43781.86</v>
      </c>
      <c r="I47">
        <v>131345.58000000002</v>
      </c>
      <c r="J47" t="s">
        <v>376</v>
      </c>
      <c r="K47" t="s">
        <v>384</v>
      </c>
      <c r="L47" t="s">
        <v>389</v>
      </c>
    </row>
    <row r="48" spans="1:12" x14ac:dyDescent="0.3">
      <c r="A48" t="s">
        <v>58</v>
      </c>
      <c r="B48" s="3">
        <v>46249</v>
      </c>
      <c r="C48" t="s">
        <v>422</v>
      </c>
      <c r="D48" t="s">
        <v>343</v>
      </c>
      <c r="E48" t="s">
        <v>365</v>
      </c>
      <c r="F48" t="s">
        <v>371</v>
      </c>
      <c r="G48">
        <v>3</v>
      </c>
      <c r="H48">
        <v>29568.65</v>
      </c>
      <c r="I48">
        <v>88705.950000000012</v>
      </c>
      <c r="J48" t="s">
        <v>374</v>
      </c>
      <c r="K48" t="s">
        <v>384</v>
      </c>
      <c r="L48" t="s">
        <v>390</v>
      </c>
    </row>
    <row r="49" spans="1:12" x14ac:dyDescent="0.3">
      <c r="A49" t="s">
        <v>59</v>
      </c>
      <c r="B49" s="3">
        <v>46029</v>
      </c>
      <c r="C49" t="s">
        <v>414</v>
      </c>
      <c r="D49" t="s">
        <v>335</v>
      </c>
      <c r="E49" t="s">
        <v>358</v>
      </c>
      <c r="F49" t="s">
        <v>372</v>
      </c>
      <c r="G49">
        <v>2</v>
      </c>
      <c r="H49">
        <v>3444.11</v>
      </c>
      <c r="I49">
        <v>6888.22</v>
      </c>
      <c r="J49" t="s">
        <v>379</v>
      </c>
      <c r="K49" t="s">
        <v>384</v>
      </c>
      <c r="L49" t="s">
        <v>390</v>
      </c>
    </row>
    <row r="50" spans="1:12" x14ac:dyDescent="0.3">
      <c r="A50" t="s">
        <v>60</v>
      </c>
      <c r="B50" s="3">
        <v>46032</v>
      </c>
      <c r="C50" t="s">
        <v>411</v>
      </c>
      <c r="D50" t="s">
        <v>332</v>
      </c>
      <c r="E50" t="s">
        <v>361</v>
      </c>
      <c r="F50" t="s">
        <v>371</v>
      </c>
      <c r="G50">
        <v>1</v>
      </c>
      <c r="H50">
        <v>2441.27</v>
      </c>
      <c r="I50">
        <v>2441.27</v>
      </c>
      <c r="J50" t="s">
        <v>376</v>
      </c>
      <c r="K50" t="s">
        <v>385</v>
      </c>
      <c r="L50" t="s">
        <v>390</v>
      </c>
    </row>
    <row r="51" spans="1:12" x14ac:dyDescent="0.3">
      <c r="A51" t="s">
        <v>61</v>
      </c>
      <c r="B51" s="3">
        <v>46191</v>
      </c>
      <c r="C51" t="s">
        <v>416</v>
      </c>
      <c r="D51" t="s">
        <v>337</v>
      </c>
      <c r="E51" t="s">
        <v>357</v>
      </c>
      <c r="F51" t="s">
        <v>371</v>
      </c>
      <c r="G51">
        <v>2</v>
      </c>
      <c r="H51">
        <v>850.13</v>
      </c>
      <c r="I51">
        <v>1700.26</v>
      </c>
      <c r="J51" t="s">
        <v>378</v>
      </c>
      <c r="K51" t="s">
        <v>387</v>
      </c>
      <c r="L51" t="s">
        <v>390</v>
      </c>
    </row>
    <row r="52" spans="1:12" x14ac:dyDescent="0.3">
      <c r="A52" t="s">
        <v>62</v>
      </c>
      <c r="B52" s="3">
        <v>46153</v>
      </c>
      <c r="C52" t="s">
        <v>420</v>
      </c>
      <c r="D52" t="s">
        <v>341</v>
      </c>
      <c r="E52" t="s">
        <v>358</v>
      </c>
      <c r="F52" t="s">
        <v>372</v>
      </c>
      <c r="G52">
        <v>3</v>
      </c>
      <c r="H52">
        <v>3104.73</v>
      </c>
      <c r="I52">
        <v>9314.19</v>
      </c>
      <c r="J52" t="s">
        <v>378</v>
      </c>
      <c r="K52" t="s">
        <v>383</v>
      </c>
      <c r="L52" t="s">
        <v>390</v>
      </c>
    </row>
    <row r="53" spans="1:12" x14ac:dyDescent="0.3">
      <c r="A53" t="s">
        <v>63</v>
      </c>
      <c r="B53" s="3">
        <v>46090</v>
      </c>
      <c r="C53" t="s">
        <v>423</v>
      </c>
      <c r="D53" t="s">
        <v>344</v>
      </c>
      <c r="E53" t="s">
        <v>362</v>
      </c>
      <c r="F53" t="s">
        <v>372</v>
      </c>
      <c r="G53">
        <v>3</v>
      </c>
      <c r="H53">
        <v>2058.5700000000002</v>
      </c>
      <c r="I53">
        <v>6175.7100000000009</v>
      </c>
      <c r="J53" t="s">
        <v>379</v>
      </c>
      <c r="K53" t="s">
        <v>387</v>
      </c>
      <c r="L53" t="s">
        <v>389</v>
      </c>
    </row>
    <row r="54" spans="1:12" x14ac:dyDescent="0.3">
      <c r="A54" t="s">
        <v>64</v>
      </c>
      <c r="B54" s="3">
        <v>46153</v>
      </c>
      <c r="C54" t="s">
        <v>416</v>
      </c>
      <c r="D54" t="s">
        <v>337</v>
      </c>
      <c r="E54" t="s">
        <v>358</v>
      </c>
      <c r="F54" t="s">
        <v>372</v>
      </c>
      <c r="G54">
        <v>3</v>
      </c>
      <c r="H54">
        <v>3159.29</v>
      </c>
      <c r="I54">
        <v>9477.869999999999</v>
      </c>
      <c r="J54" t="s">
        <v>376</v>
      </c>
      <c r="K54" t="s">
        <v>387</v>
      </c>
      <c r="L54" t="s">
        <v>390</v>
      </c>
    </row>
    <row r="55" spans="1:12" x14ac:dyDescent="0.3">
      <c r="A55" t="s">
        <v>65</v>
      </c>
      <c r="B55" s="3">
        <v>46259</v>
      </c>
      <c r="C55" t="s">
        <v>417</v>
      </c>
      <c r="D55" t="s">
        <v>338</v>
      </c>
      <c r="E55" t="s">
        <v>355</v>
      </c>
      <c r="F55" t="s">
        <v>369</v>
      </c>
      <c r="G55">
        <v>4</v>
      </c>
      <c r="H55">
        <v>630.24</v>
      </c>
      <c r="I55">
        <v>2520.96</v>
      </c>
      <c r="J55" t="s">
        <v>378</v>
      </c>
      <c r="K55" t="s">
        <v>385</v>
      </c>
      <c r="L55" t="s">
        <v>390</v>
      </c>
    </row>
    <row r="56" spans="1:12" x14ac:dyDescent="0.3">
      <c r="A56" t="s">
        <v>66</v>
      </c>
      <c r="B56" s="3">
        <v>46192</v>
      </c>
      <c r="C56" t="s">
        <v>428</v>
      </c>
      <c r="D56" t="s">
        <v>349</v>
      </c>
      <c r="E56" t="s">
        <v>354</v>
      </c>
      <c r="F56" t="s">
        <v>369</v>
      </c>
      <c r="G56">
        <v>3</v>
      </c>
      <c r="H56">
        <v>1844.34</v>
      </c>
      <c r="I56">
        <v>5533.0199999999995</v>
      </c>
      <c r="J56" t="s">
        <v>377</v>
      </c>
      <c r="K56" t="s">
        <v>383</v>
      </c>
      <c r="L56" t="s">
        <v>390</v>
      </c>
    </row>
    <row r="57" spans="1:12" x14ac:dyDescent="0.3">
      <c r="A57" t="s">
        <v>67</v>
      </c>
      <c r="B57" s="3">
        <v>46072</v>
      </c>
      <c r="C57" t="s">
        <v>416</v>
      </c>
      <c r="D57" t="s">
        <v>337</v>
      </c>
      <c r="E57" t="s">
        <v>366</v>
      </c>
      <c r="F57" t="s">
        <v>373</v>
      </c>
      <c r="G57">
        <v>3</v>
      </c>
      <c r="H57">
        <v>12130.59</v>
      </c>
      <c r="I57">
        <v>36391.770000000004</v>
      </c>
      <c r="J57" t="s">
        <v>374</v>
      </c>
      <c r="K57" t="s">
        <v>386</v>
      </c>
      <c r="L57" t="s">
        <v>391</v>
      </c>
    </row>
    <row r="58" spans="1:12" x14ac:dyDescent="0.3">
      <c r="A58" t="s">
        <v>68</v>
      </c>
      <c r="B58" s="3">
        <v>46023</v>
      </c>
      <c r="C58" t="s">
        <v>428</v>
      </c>
      <c r="D58" t="s">
        <v>349</v>
      </c>
      <c r="E58" t="s">
        <v>357</v>
      </c>
      <c r="F58" t="s">
        <v>371</v>
      </c>
      <c r="G58">
        <v>4</v>
      </c>
      <c r="H58">
        <v>908.63</v>
      </c>
      <c r="I58">
        <v>3634.52</v>
      </c>
      <c r="J58" t="s">
        <v>376</v>
      </c>
      <c r="K58" t="s">
        <v>385</v>
      </c>
      <c r="L58" t="s">
        <v>391</v>
      </c>
    </row>
    <row r="59" spans="1:12" x14ac:dyDescent="0.3">
      <c r="A59" t="s">
        <v>69</v>
      </c>
      <c r="B59" s="3">
        <v>46136</v>
      </c>
      <c r="C59" t="s">
        <v>421</v>
      </c>
      <c r="D59" t="s">
        <v>342</v>
      </c>
      <c r="E59" t="s">
        <v>363</v>
      </c>
      <c r="F59" t="s">
        <v>370</v>
      </c>
      <c r="G59">
        <v>3</v>
      </c>
      <c r="H59">
        <v>248.25</v>
      </c>
      <c r="I59">
        <v>744.75</v>
      </c>
      <c r="J59" t="s">
        <v>381</v>
      </c>
      <c r="K59" t="s">
        <v>384</v>
      </c>
      <c r="L59" t="s">
        <v>389</v>
      </c>
    </row>
    <row r="60" spans="1:12" x14ac:dyDescent="0.3">
      <c r="A60" t="s">
        <v>70</v>
      </c>
      <c r="B60" s="3">
        <v>46185</v>
      </c>
      <c r="C60" t="s">
        <v>414</v>
      </c>
      <c r="D60" t="s">
        <v>335</v>
      </c>
      <c r="E60" t="s">
        <v>365</v>
      </c>
      <c r="F60" t="s">
        <v>371</v>
      </c>
      <c r="G60">
        <v>3</v>
      </c>
      <c r="H60">
        <v>28086.53</v>
      </c>
      <c r="I60">
        <v>84259.59</v>
      </c>
      <c r="J60" t="s">
        <v>375</v>
      </c>
      <c r="K60" t="s">
        <v>384</v>
      </c>
      <c r="L60" t="s">
        <v>389</v>
      </c>
    </row>
    <row r="61" spans="1:12" x14ac:dyDescent="0.3">
      <c r="A61" t="s">
        <v>71</v>
      </c>
      <c r="B61" s="3">
        <v>46060</v>
      </c>
      <c r="C61" t="s">
        <v>427</v>
      </c>
      <c r="D61" t="s">
        <v>348</v>
      </c>
      <c r="E61" t="s">
        <v>357</v>
      </c>
      <c r="F61" t="s">
        <v>371</v>
      </c>
      <c r="G61">
        <v>2</v>
      </c>
      <c r="H61">
        <v>955.18</v>
      </c>
      <c r="I61">
        <v>1910.36</v>
      </c>
      <c r="J61" t="s">
        <v>376</v>
      </c>
      <c r="K61" t="s">
        <v>385</v>
      </c>
      <c r="L61" t="s">
        <v>391</v>
      </c>
    </row>
    <row r="62" spans="1:12" x14ac:dyDescent="0.3">
      <c r="A62" t="s">
        <v>72</v>
      </c>
      <c r="B62" s="3">
        <v>46249</v>
      </c>
      <c r="C62" t="s">
        <v>417</v>
      </c>
      <c r="D62" t="s">
        <v>338</v>
      </c>
      <c r="E62" t="s">
        <v>359</v>
      </c>
      <c r="F62" t="s">
        <v>372</v>
      </c>
      <c r="G62">
        <v>1</v>
      </c>
      <c r="H62">
        <v>891.97</v>
      </c>
      <c r="I62">
        <v>891.97</v>
      </c>
      <c r="J62" t="s">
        <v>379</v>
      </c>
      <c r="K62" t="s">
        <v>385</v>
      </c>
      <c r="L62" t="s">
        <v>390</v>
      </c>
    </row>
    <row r="63" spans="1:12" x14ac:dyDescent="0.3">
      <c r="A63" t="s">
        <v>73</v>
      </c>
      <c r="B63" s="3">
        <v>46024</v>
      </c>
      <c r="C63" t="s">
        <v>413</v>
      </c>
      <c r="D63" t="s">
        <v>334</v>
      </c>
      <c r="E63" t="s">
        <v>360</v>
      </c>
      <c r="F63" t="s">
        <v>371</v>
      </c>
      <c r="G63">
        <v>2</v>
      </c>
      <c r="H63">
        <v>1856.18</v>
      </c>
      <c r="I63">
        <v>3712.36</v>
      </c>
      <c r="J63" t="s">
        <v>376</v>
      </c>
      <c r="K63" t="s">
        <v>384</v>
      </c>
      <c r="L63" t="s">
        <v>389</v>
      </c>
    </row>
    <row r="64" spans="1:12" x14ac:dyDescent="0.3">
      <c r="A64" t="s">
        <v>74</v>
      </c>
      <c r="B64" s="3">
        <v>46086</v>
      </c>
      <c r="C64" t="s">
        <v>431</v>
      </c>
      <c r="D64" t="s">
        <v>352</v>
      </c>
      <c r="E64" t="s">
        <v>356</v>
      </c>
      <c r="F64" t="s">
        <v>370</v>
      </c>
      <c r="G64">
        <v>4</v>
      </c>
      <c r="H64">
        <v>109.21</v>
      </c>
      <c r="I64">
        <v>436.84</v>
      </c>
      <c r="J64" t="s">
        <v>374</v>
      </c>
      <c r="K64" t="s">
        <v>385</v>
      </c>
      <c r="L64" t="s">
        <v>389</v>
      </c>
    </row>
    <row r="65" spans="1:12" x14ac:dyDescent="0.3">
      <c r="A65" t="s">
        <v>75</v>
      </c>
      <c r="B65" s="3">
        <v>46266</v>
      </c>
      <c r="C65" t="s">
        <v>422</v>
      </c>
      <c r="D65" t="s">
        <v>343</v>
      </c>
      <c r="E65" t="s">
        <v>356</v>
      </c>
      <c r="F65" t="s">
        <v>370</v>
      </c>
      <c r="G65">
        <v>5</v>
      </c>
      <c r="H65">
        <v>122.29</v>
      </c>
      <c r="I65">
        <v>611.45000000000005</v>
      </c>
      <c r="J65" t="s">
        <v>379</v>
      </c>
      <c r="K65" t="s">
        <v>386</v>
      </c>
      <c r="L65" t="s">
        <v>390</v>
      </c>
    </row>
    <row r="66" spans="1:12" x14ac:dyDescent="0.3">
      <c r="A66" t="s">
        <v>76</v>
      </c>
      <c r="B66" s="3">
        <v>46144</v>
      </c>
      <c r="C66" t="s">
        <v>419</v>
      </c>
      <c r="D66" t="s">
        <v>340</v>
      </c>
      <c r="E66" t="s">
        <v>362</v>
      </c>
      <c r="F66" t="s">
        <v>372</v>
      </c>
      <c r="G66">
        <v>2</v>
      </c>
      <c r="H66">
        <v>2307.21</v>
      </c>
      <c r="I66">
        <v>4614.42</v>
      </c>
      <c r="J66" t="s">
        <v>376</v>
      </c>
      <c r="K66" t="s">
        <v>387</v>
      </c>
      <c r="L66" t="s">
        <v>391</v>
      </c>
    </row>
    <row r="67" spans="1:12" x14ac:dyDescent="0.3">
      <c r="A67" t="s">
        <v>77</v>
      </c>
      <c r="B67" s="3">
        <v>46042</v>
      </c>
      <c r="C67" t="s">
        <v>411</v>
      </c>
      <c r="D67" t="s">
        <v>332</v>
      </c>
      <c r="E67" t="s">
        <v>368</v>
      </c>
      <c r="F67" t="s">
        <v>373</v>
      </c>
      <c r="G67">
        <v>2</v>
      </c>
      <c r="H67">
        <v>6206.98</v>
      </c>
      <c r="I67">
        <v>12413.96</v>
      </c>
      <c r="J67" t="s">
        <v>377</v>
      </c>
      <c r="K67" t="s">
        <v>387</v>
      </c>
      <c r="L67" t="s">
        <v>390</v>
      </c>
    </row>
    <row r="68" spans="1:12" x14ac:dyDescent="0.3">
      <c r="A68" t="s">
        <v>78</v>
      </c>
      <c r="B68" s="3">
        <v>46061</v>
      </c>
      <c r="C68" t="s">
        <v>416</v>
      </c>
      <c r="D68" t="s">
        <v>337</v>
      </c>
      <c r="E68" t="s">
        <v>362</v>
      </c>
      <c r="F68" t="s">
        <v>372</v>
      </c>
      <c r="G68">
        <v>5</v>
      </c>
      <c r="H68">
        <v>2015.45</v>
      </c>
      <c r="I68">
        <v>10077.25</v>
      </c>
      <c r="J68" t="s">
        <v>374</v>
      </c>
      <c r="K68" t="s">
        <v>384</v>
      </c>
      <c r="L68" t="s">
        <v>390</v>
      </c>
    </row>
    <row r="69" spans="1:12" x14ac:dyDescent="0.3">
      <c r="A69" t="s">
        <v>79</v>
      </c>
      <c r="B69" s="3">
        <v>46142</v>
      </c>
      <c r="C69" t="s">
        <v>427</v>
      </c>
      <c r="D69" t="s">
        <v>348</v>
      </c>
      <c r="E69" t="s">
        <v>366</v>
      </c>
      <c r="F69" t="s">
        <v>373</v>
      </c>
      <c r="G69">
        <v>4</v>
      </c>
      <c r="H69">
        <v>11594.12</v>
      </c>
      <c r="I69">
        <v>46376.480000000003</v>
      </c>
      <c r="J69" t="s">
        <v>376</v>
      </c>
      <c r="K69" t="s">
        <v>385</v>
      </c>
      <c r="L69" t="s">
        <v>390</v>
      </c>
    </row>
    <row r="70" spans="1:12" x14ac:dyDescent="0.3">
      <c r="A70" t="s">
        <v>80</v>
      </c>
      <c r="B70" s="3">
        <v>46028</v>
      </c>
      <c r="C70" t="s">
        <v>416</v>
      </c>
      <c r="D70" t="s">
        <v>337</v>
      </c>
      <c r="E70" t="s">
        <v>362</v>
      </c>
      <c r="F70" t="s">
        <v>372</v>
      </c>
      <c r="G70">
        <v>5</v>
      </c>
      <c r="H70">
        <v>2396.27</v>
      </c>
      <c r="I70">
        <v>11981.35</v>
      </c>
      <c r="J70" t="s">
        <v>381</v>
      </c>
      <c r="K70" t="s">
        <v>383</v>
      </c>
      <c r="L70" t="s">
        <v>390</v>
      </c>
    </row>
    <row r="71" spans="1:12" x14ac:dyDescent="0.3">
      <c r="A71" t="s">
        <v>81</v>
      </c>
      <c r="B71" s="3">
        <v>46236</v>
      </c>
      <c r="C71" t="s">
        <v>420</v>
      </c>
      <c r="D71" t="s">
        <v>341</v>
      </c>
      <c r="E71" t="s">
        <v>357</v>
      </c>
      <c r="F71" t="s">
        <v>371</v>
      </c>
      <c r="G71">
        <v>4</v>
      </c>
      <c r="H71">
        <v>963.62</v>
      </c>
      <c r="I71">
        <v>3854.48</v>
      </c>
      <c r="J71" t="s">
        <v>376</v>
      </c>
      <c r="K71" t="s">
        <v>385</v>
      </c>
      <c r="L71" t="s">
        <v>390</v>
      </c>
    </row>
    <row r="72" spans="1:12" x14ac:dyDescent="0.3">
      <c r="A72" t="s">
        <v>82</v>
      </c>
      <c r="B72" s="3">
        <v>46122</v>
      </c>
      <c r="C72" t="s">
        <v>416</v>
      </c>
      <c r="D72" t="s">
        <v>337</v>
      </c>
      <c r="E72" t="s">
        <v>357</v>
      </c>
      <c r="F72" t="s">
        <v>371</v>
      </c>
      <c r="G72">
        <v>4</v>
      </c>
      <c r="H72">
        <v>897.42</v>
      </c>
      <c r="I72">
        <v>3589.68</v>
      </c>
      <c r="J72" t="s">
        <v>374</v>
      </c>
      <c r="K72" t="s">
        <v>385</v>
      </c>
      <c r="L72" t="s">
        <v>390</v>
      </c>
    </row>
    <row r="73" spans="1:12" x14ac:dyDescent="0.3">
      <c r="A73" t="s">
        <v>83</v>
      </c>
      <c r="B73" s="3">
        <v>46123</v>
      </c>
      <c r="C73" t="s">
        <v>426</v>
      </c>
      <c r="D73" t="s">
        <v>347</v>
      </c>
      <c r="E73" t="s">
        <v>363</v>
      </c>
      <c r="F73" t="s">
        <v>370</v>
      </c>
      <c r="G73">
        <v>5</v>
      </c>
      <c r="H73">
        <v>226.35</v>
      </c>
      <c r="I73">
        <v>1131.75</v>
      </c>
      <c r="J73" t="s">
        <v>380</v>
      </c>
      <c r="K73" t="s">
        <v>383</v>
      </c>
      <c r="L73" t="s">
        <v>389</v>
      </c>
    </row>
    <row r="74" spans="1:12" x14ac:dyDescent="0.3">
      <c r="A74" t="s">
        <v>84</v>
      </c>
      <c r="B74" s="3">
        <v>46069</v>
      </c>
      <c r="C74" t="s">
        <v>419</v>
      </c>
      <c r="D74" t="s">
        <v>340</v>
      </c>
      <c r="E74" t="s">
        <v>366</v>
      </c>
      <c r="F74" t="s">
        <v>373</v>
      </c>
      <c r="G74">
        <v>2</v>
      </c>
      <c r="H74">
        <v>12880.44</v>
      </c>
      <c r="I74">
        <v>25760.880000000001</v>
      </c>
      <c r="J74" t="s">
        <v>379</v>
      </c>
      <c r="K74" t="s">
        <v>387</v>
      </c>
      <c r="L74" t="s">
        <v>390</v>
      </c>
    </row>
    <row r="75" spans="1:12" x14ac:dyDescent="0.3">
      <c r="A75" t="s">
        <v>85</v>
      </c>
      <c r="B75" s="3">
        <v>46248</v>
      </c>
      <c r="C75" t="s">
        <v>419</v>
      </c>
      <c r="D75" t="s">
        <v>340</v>
      </c>
      <c r="E75" t="s">
        <v>368</v>
      </c>
      <c r="F75" t="s">
        <v>373</v>
      </c>
      <c r="G75">
        <v>3</v>
      </c>
      <c r="H75">
        <v>6288.75</v>
      </c>
      <c r="I75">
        <v>18866.25</v>
      </c>
      <c r="J75" t="s">
        <v>379</v>
      </c>
      <c r="K75" t="s">
        <v>387</v>
      </c>
      <c r="L75" t="s">
        <v>390</v>
      </c>
    </row>
    <row r="76" spans="1:12" x14ac:dyDescent="0.3">
      <c r="A76" t="s">
        <v>86</v>
      </c>
      <c r="B76" s="3">
        <v>46036</v>
      </c>
      <c r="C76" t="s">
        <v>411</v>
      </c>
      <c r="D76" t="s">
        <v>332</v>
      </c>
      <c r="E76" t="s">
        <v>368</v>
      </c>
      <c r="F76" t="s">
        <v>373</v>
      </c>
      <c r="G76">
        <v>1</v>
      </c>
      <c r="H76">
        <v>6823.73</v>
      </c>
      <c r="I76">
        <v>6823.73</v>
      </c>
      <c r="J76" t="s">
        <v>375</v>
      </c>
      <c r="K76" t="s">
        <v>383</v>
      </c>
      <c r="L76" t="s">
        <v>390</v>
      </c>
    </row>
    <row r="77" spans="1:12" x14ac:dyDescent="0.3">
      <c r="A77" t="s">
        <v>87</v>
      </c>
      <c r="B77" s="3">
        <v>46182</v>
      </c>
      <c r="C77" t="s">
        <v>411</v>
      </c>
      <c r="D77" t="s">
        <v>332</v>
      </c>
      <c r="E77" t="s">
        <v>360</v>
      </c>
      <c r="F77" t="s">
        <v>371</v>
      </c>
      <c r="G77">
        <v>2</v>
      </c>
      <c r="H77">
        <v>1922.12</v>
      </c>
      <c r="I77">
        <v>3844.24</v>
      </c>
      <c r="J77" t="s">
        <v>374</v>
      </c>
      <c r="K77" t="s">
        <v>385</v>
      </c>
      <c r="L77" t="s">
        <v>389</v>
      </c>
    </row>
    <row r="78" spans="1:12" x14ac:dyDescent="0.3">
      <c r="A78" t="s">
        <v>88</v>
      </c>
      <c r="B78" s="3">
        <v>46142</v>
      </c>
      <c r="C78" t="s">
        <v>415</v>
      </c>
      <c r="D78" t="s">
        <v>336</v>
      </c>
      <c r="E78" t="s">
        <v>365</v>
      </c>
      <c r="F78" t="s">
        <v>371</v>
      </c>
      <c r="G78">
        <v>5</v>
      </c>
      <c r="H78">
        <v>30507.439999999999</v>
      </c>
      <c r="I78">
        <v>152537.19999999998</v>
      </c>
      <c r="J78" t="s">
        <v>374</v>
      </c>
      <c r="K78" t="s">
        <v>386</v>
      </c>
      <c r="L78" t="s">
        <v>391</v>
      </c>
    </row>
    <row r="79" spans="1:12" x14ac:dyDescent="0.3">
      <c r="A79" t="s">
        <v>89</v>
      </c>
      <c r="B79" s="3">
        <v>46064</v>
      </c>
      <c r="C79" t="s">
        <v>423</v>
      </c>
      <c r="D79" t="s">
        <v>344</v>
      </c>
      <c r="E79" t="s">
        <v>355</v>
      </c>
      <c r="F79" t="s">
        <v>369</v>
      </c>
      <c r="G79">
        <v>1</v>
      </c>
      <c r="H79">
        <v>738.89</v>
      </c>
      <c r="I79">
        <v>738.89</v>
      </c>
      <c r="J79" t="s">
        <v>380</v>
      </c>
      <c r="K79" t="s">
        <v>387</v>
      </c>
      <c r="L79" t="s">
        <v>391</v>
      </c>
    </row>
    <row r="80" spans="1:12" x14ac:dyDescent="0.3">
      <c r="A80" t="s">
        <v>90</v>
      </c>
      <c r="B80" s="3">
        <v>46206</v>
      </c>
      <c r="C80" t="s">
        <v>425</v>
      </c>
      <c r="D80" t="s">
        <v>346</v>
      </c>
      <c r="E80" t="s">
        <v>354</v>
      </c>
      <c r="F80" t="s">
        <v>369</v>
      </c>
      <c r="G80">
        <v>4</v>
      </c>
      <c r="H80">
        <v>1762.8</v>
      </c>
      <c r="I80">
        <v>7051.2</v>
      </c>
      <c r="J80" t="s">
        <v>376</v>
      </c>
      <c r="K80" t="s">
        <v>383</v>
      </c>
      <c r="L80" t="s">
        <v>389</v>
      </c>
    </row>
    <row r="81" spans="1:12" x14ac:dyDescent="0.3">
      <c r="A81" t="s">
        <v>91</v>
      </c>
      <c r="B81" s="3">
        <v>46176</v>
      </c>
      <c r="C81" t="s">
        <v>426</v>
      </c>
      <c r="D81" t="s">
        <v>347</v>
      </c>
      <c r="E81" t="s">
        <v>358</v>
      </c>
      <c r="F81" t="s">
        <v>372</v>
      </c>
      <c r="G81">
        <v>3</v>
      </c>
      <c r="H81">
        <v>3424.19</v>
      </c>
      <c r="I81">
        <v>10272.57</v>
      </c>
      <c r="J81" t="s">
        <v>380</v>
      </c>
      <c r="K81" t="s">
        <v>387</v>
      </c>
      <c r="L81" t="s">
        <v>391</v>
      </c>
    </row>
    <row r="82" spans="1:12" x14ac:dyDescent="0.3">
      <c r="A82" t="s">
        <v>92</v>
      </c>
      <c r="B82" s="3">
        <v>46188</v>
      </c>
      <c r="C82" t="s">
        <v>412</v>
      </c>
      <c r="D82" t="s">
        <v>333</v>
      </c>
      <c r="E82" t="s">
        <v>366</v>
      </c>
      <c r="F82" t="s">
        <v>373</v>
      </c>
      <c r="G82">
        <v>3</v>
      </c>
      <c r="H82">
        <v>10965.5</v>
      </c>
      <c r="I82">
        <v>32896.5</v>
      </c>
      <c r="J82" t="s">
        <v>379</v>
      </c>
      <c r="K82" t="s">
        <v>385</v>
      </c>
      <c r="L82" t="s">
        <v>390</v>
      </c>
    </row>
    <row r="83" spans="1:12" x14ac:dyDescent="0.3">
      <c r="A83" t="s">
        <v>93</v>
      </c>
      <c r="B83" s="3">
        <v>46235</v>
      </c>
      <c r="C83" t="s">
        <v>430</v>
      </c>
      <c r="D83" t="s">
        <v>351</v>
      </c>
      <c r="E83" t="s">
        <v>366</v>
      </c>
      <c r="F83" t="s">
        <v>373</v>
      </c>
      <c r="G83">
        <v>3</v>
      </c>
      <c r="H83">
        <v>12325.4</v>
      </c>
      <c r="I83">
        <v>36976.199999999997</v>
      </c>
      <c r="J83" t="s">
        <v>379</v>
      </c>
      <c r="K83" t="s">
        <v>384</v>
      </c>
      <c r="L83" t="s">
        <v>389</v>
      </c>
    </row>
    <row r="84" spans="1:12" x14ac:dyDescent="0.3">
      <c r="A84" t="s">
        <v>94</v>
      </c>
      <c r="B84" s="3">
        <v>46258</v>
      </c>
      <c r="C84" t="s">
        <v>424</v>
      </c>
      <c r="D84" t="s">
        <v>345</v>
      </c>
      <c r="E84" t="s">
        <v>356</v>
      </c>
      <c r="F84" t="s">
        <v>370</v>
      </c>
      <c r="G84">
        <v>3</v>
      </c>
      <c r="H84">
        <v>122.78</v>
      </c>
      <c r="I84">
        <v>368.34000000000003</v>
      </c>
      <c r="J84" t="s">
        <v>381</v>
      </c>
      <c r="K84" t="s">
        <v>385</v>
      </c>
      <c r="L84" t="s">
        <v>389</v>
      </c>
    </row>
    <row r="85" spans="1:12" x14ac:dyDescent="0.3">
      <c r="A85" t="s">
        <v>95</v>
      </c>
      <c r="B85" s="3">
        <v>46085</v>
      </c>
      <c r="C85" t="s">
        <v>419</v>
      </c>
      <c r="D85" t="s">
        <v>340</v>
      </c>
      <c r="E85" t="s">
        <v>363</v>
      </c>
      <c r="F85" t="s">
        <v>370</v>
      </c>
      <c r="G85">
        <v>3</v>
      </c>
      <c r="H85">
        <v>241.12</v>
      </c>
      <c r="I85">
        <v>723.36</v>
      </c>
      <c r="J85" t="s">
        <v>381</v>
      </c>
      <c r="K85" t="s">
        <v>384</v>
      </c>
      <c r="L85" t="s">
        <v>390</v>
      </c>
    </row>
    <row r="86" spans="1:12" x14ac:dyDescent="0.3">
      <c r="A86" t="s">
        <v>96</v>
      </c>
      <c r="B86" s="3">
        <v>46109</v>
      </c>
      <c r="C86" t="s">
        <v>424</v>
      </c>
      <c r="D86" t="s">
        <v>345</v>
      </c>
      <c r="E86" t="s">
        <v>363</v>
      </c>
      <c r="F86" t="s">
        <v>370</v>
      </c>
      <c r="G86">
        <v>5</v>
      </c>
      <c r="H86">
        <v>258.41000000000003</v>
      </c>
      <c r="I86">
        <v>1292.0500000000002</v>
      </c>
      <c r="J86" t="s">
        <v>378</v>
      </c>
      <c r="K86" t="s">
        <v>384</v>
      </c>
      <c r="L86" t="s">
        <v>390</v>
      </c>
    </row>
    <row r="87" spans="1:12" x14ac:dyDescent="0.3">
      <c r="A87" t="s">
        <v>97</v>
      </c>
      <c r="B87" s="3">
        <v>46110</v>
      </c>
      <c r="C87" t="s">
        <v>422</v>
      </c>
      <c r="D87" t="s">
        <v>343</v>
      </c>
      <c r="E87" t="s">
        <v>360</v>
      </c>
      <c r="F87" t="s">
        <v>371</v>
      </c>
      <c r="G87">
        <v>3</v>
      </c>
      <c r="H87">
        <v>1907.22</v>
      </c>
      <c r="I87">
        <v>5721.66</v>
      </c>
      <c r="J87" t="s">
        <v>377</v>
      </c>
      <c r="K87" t="s">
        <v>386</v>
      </c>
      <c r="L87" t="s">
        <v>390</v>
      </c>
    </row>
    <row r="88" spans="1:12" x14ac:dyDescent="0.3">
      <c r="A88" t="s">
        <v>98</v>
      </c>
      <c r="B88" s="3">
        <v>46207</v>
      </c>
      <c r="C88" t="s">
        <v>424</v>
      </c>
      <c r="D88" t="s">
        <v>345</v>
      </c>
      <c r="E88" t="s">
        <v>356</v>
      </c>
      <c r="F88" t="s">
        <v>370</v>
      </c>
      <c r="G88">
        <v>2</v>
      </c>
      <c r="H88">
        <v>110.05</v>
      </c>
      <c r="I88">
        <v>220.1</v>
      </c>
      <c r="J88" t="s">
        <v>376</v>
      </c>
      <c r="K88" t="s">
        <v>385</v>
      </c>
      <c r="L88" t="s">
        <v>389</v>
      </c>
    </row>
    <row r="89" spans="1:12" x14ac:dyDescent="0.3">
      <c r="A89" t="s">
        <v>99</v>
      </c>
      <c r="B89" s="3">
        <v>46027</v>
      </c>
      <c r="C89" t="s">
        <v>428</v>
      </c>
      <c r="D89" t="s">
        <v>349</v>
      </c>
      <c r="E89" t="s">
        <v>355</v>
      </c>
      <c r="F89" t="s">
        <v>369</v>
      </c>
      <c r="G89">
        <v>4</v>
      </c>
      <c r="H89">
        <v>692.74</v>
      </c>
      <c r="I89">
        <v>2770.96</v>
      </c>
      <c r="J89" t="s">
        <v>376</v>
      </c>
      <c r="K89" t="s">
        <v>385</v>
      </c>
      <c r="L89" t="s">
        <v>389</v>
      </c>
    </row>
    <row r="90" spans="1:12" x14ac:dyDescent="0.3">
      <c r="A90" t="s">
        <v>100</v>
      </c>
      <c r="B90" s="3">
        <v>46117</v>
      </c>
      <c r="C90" t="s">
        <v>420</v>
      </c>
      <c r="D90" t="s">
        <v>353</v>
      </c>
      <c r="E90" t="s">
        <v>360</v>
      </c>
      <c r="F90" t="s">
        <v>371</v>
      </c>
      <c r="G90">
        <v>3</v>
      </c>
      <c r="H90">
        <v>1859.03</v>
      </c>
      <c r="I90">
        <v>5577.09</v>
      </c>
      <c r="J90" t="s">
        <v>378</v>
      </c>
      <c r="K90" t="s">
        <v>385</v>
      </c>
      <c r="L90" t="s">
        <v>389</v>
      </c>
    </row>
    <row r="91" spans="1:12" x14ac:dyDescent="0.3">
      <c r="A91" t="s">
        <v>101</v>
      </c>
      <c r="B91" s="3">
        <v>46139</v>
      </c>
      <c r="C91" t="s">
        <v>428</v>
      </c>
      <c r="D91" t="s">
        <v>349</v>
      </c>
      <c r="E91" t="s">
        <v>356</v>
      </c>
      <c r="F91" t="s">
        <v>370</v>
      </c>
      <c r="G91">
        <v>3</v>
      </c>
      <c r="H91">
        <v>116.44</v>
      </c>
      <c r="I91">
        <v>349.32</v>
      </c>
      <c r="J91" t="s">
        <v>377</v>
      </c>
      <c r="K91" t="s">
        <v>384</v>
      </c>
      <c r="L91" t="s">
        <v>390</v>
      </c>
    </row>
    <row r="92" spans="1:12" x14ac:dyDescent="0.3">
      <c r="A92" t="s">
        <v>102</v>
      </c>
      <c r="B92" s="3">
        <v>46213</v>
      </c>
      <c r="C92" t="s">
        <v>429</v>
      </c>
      <c r="D92" t="s">
        <v>350</v>
      </c>
      <c r="E92" t="s">
        <v>355</v>
      </c>
      <c r="F92" t="s">
        <v>369</v>
      </c>
      <c r="G92">
        <v>2</v>
      </c>
      <c r="H92">
        <v>674.18</v>
      </c>
      <c r="I92">
        <v>1348.36</v>
      </c>
      <c r="J92" t="s">
        <v>376</v>
      </c>
      <c r="K92" t="s">
        <v>384</v>
      </c>
      <c r="L92" t="s">
        <v>389</v>
      </c>
    </row>
    <row r="93" spans="1:12" x14ac:dyDescent="0.3">
      <c r="A93" t="s">
        <v>103</v>
      </c>
      <c r="B93" s="3">
        <v>46217</v>
      </c>
      <c r="C93" t="s">
        <v>422</v>
      </c>
      <c r="D93" t="s">
        <v>343</v>
      </c>
      <c r="E93" t="s">
        <v>368</v>
      </c>
      <c r="F93" t="s">
        <v>373</v>
      </c>
      <c r="G93">
        <v>3</v>
      </c>
      <c r="H93">
        <v>6791.96</v>
      </c>
      <c r="I93">
        <v>20375.88</v>
      </c>
      <c r="J93" t="s">
        <v>377</v>
      </c>
      <c r="K93" t="s">
        <v>383</v>
      </c>
      <c r="L93" t="s">
        <v>390</v>
      </c>
    </row>
    <row r="94" spans="1:12" x14ac:dyDescent="0.3">
      <c r="A94" t="s">
        <v>104</v>
      </c>
      <c r="B94" s="3">
        <v>46100</v>
      </c>
      <c r="C94" t="s">
        <v>420</v>
      </c>
      <c r="D94" t="s">
        <v>341</v>
      </c>
      <c r="E94" t="s">
        <v>357</v>
      </c>
      <c r="F94" t="s">
        <v>371</v>
      </c>
      <c r="G94">
        <v>2</v>
      </c>
      <c r="H94">
        <v>874.96</v>
      </c>
      <c r="I94">
        <v>1749.92</v>
      </c>
      <c r="J94" t="s">
        <v>374</v>
      </c>
      <c r="K94" t="s">
        <v>387</v>
      </c>
      <c r="L94" t="s">
        <v>390</v>
      </c>
    </row>
    <row r="95" spans="1:12" x14ac:dyDescent="0.3">
      <c r="A95" t="s">
        <v>105</v>
      </c>
      <c r="B95" s="3">
        <v>46264</v>
      </c>
      <c r="C95" t="s">
        <v>424</v>
      </c>
      <c r="D95" t="s">
        <v>345</v>
      </c>
      <c r="E95" t="s">
        <v>367</v>
      </c>
      <c r="F95" t="s">
        <v>371</v>
      </c>
      <c r="G95">
        <v>5</v>
      </c>
      <c r="H95">
        <v>43129.23</v>
      </c>
      <c r="I95">
        <v>215646.15000000002</v>
      </c>
      <c r="J95" t="s">
        <v>375</v>
      </c>
      <c r="K95" t="s">
        <v>383</v>
      </c>
      <c r="L95" t="s">
        <v>391</v>
      </c>
    </row>
    <row r="96" spans="1:12" x14ac:dyDescent="0.3">
      <c r="A96" t="s">
        <v>106</v>
      </c>
      <c r="B96" s="3">
        <v>46110</v>
      </c>
      <c r="C96" t="s">
        <v>427</v>
      </c>
      <c r="D96" t="s">
        <v>348</v>
      </c>
      <c r="E96" t="s">
        <v>357</v>
      </c>
      <c r="F96" t="s">
        <v>371</v>
      </c>
      <c r="G96">
        <v>4</v>
      </c>
      <c r="H96">
        <v>896.17</v>
      </c>
      <c r="I96">
        <v>3584.68</v>
      </c>
      <c r="J96" t="s">
        <v>377</v>
      </c>
      <c r="K96" t="s">
        <v>385</v>
      </c>
      <c r="L96" t="s">
        <v>390</v>
      </c>
    </row>
    <row r="97" spans="1:12" x14ac:dyDescent="0.3">
      <c r="A97" t="s">
        <v>107</v>
      </c>
      <c r="B97" s="3">
        <v>46041</v>
      </c>
      <c r="C97" t="s">
        <v>427</v>
      </c>
      <c r="D97" t="s">
        <v>348</v>
      </c>
      <c r="E97" t="s">
        <v>359</v>
      </c>
      <c r="F97" t="s">
        <v>372</v>
      </c>
      <c r="G97">
        <v>1</v>
      </c>
      <c r="H97">
        <v>882.13</v>
      </c>
      <c r="I97">
        <v>882.13</v>
      </c>
      <c r="J97" t="s">
        <v>374</v>
      </c>
      <c r="K97" t="s">
        <v>384</v>
      </c>
      <c r="L97" t="s">
        <v>391</v>
      </c>
    </row>
    <row r="98" spans="1:12" x14ac:dyDescent="0.3">
      <c r="A98" t="s">
        <v>108</v>
      </c>
      <c r="B98" s="3">
        <v>46053</v>
      </c>
      <c r="C98" t="s">
        <v>413</v>
      </c>
      <c r="D98" t="s">
        <v>334</v>
      </c>
      <c r="E98" t="s">
        <v>357</v>
      </c>
      <c r="F98" t="s">
        <v>371</v>
      </c>
      <c r="G98">
        <v>1</v>
      </c>
      <c r="H98">
        <v>988.91</v>
      </c>
      <c r="I98">
        <v>988.91</v>
      </c>
      <c r="J98" t="s">
        <v>376</v>
      </c>
      <c r="K98" t="s">
        <v>386</v>
      </c>
      <c r="L98" t="s">
        <v>390</v>
      </c>
    </row>
    <row r="99" spans="1:12" x14ac:dyDescent="0.3">
      <c r="A99" t="s">
        <v>109</v>
      </c>
      <c r="B99" s="3">
        <v>46173</v>
      </c>
      <c r="C99" t="s">
        <v>428</v>
      </c>
      <c r="D99" t="s">
        <v>349</v>
      </c>
      <c r="E99" t="s">
        <v>368</v>
      </c>
      <c r="F99" t="s">
        <v>373</v>
      </c>
      <c r="G99">
        <v>4</v>
      </c>
      <c r="H99">
        <v>6236.56</v>
      </c>
      <c r="I99">
        <v>24946.240000000002</v>
      </c>
      <c r="J99" t="s">
        <v>380</v>
      </c>
      <c r="K99" t="s">
        <v>386</v>
      </c>
      <c r="L99" t="s">
        <v>389</v>
      </c>
    </row>
    <row r="100" spans="1:12" x14ac:dyDescent="0.3">
      <c r="A100" t="s">
        <v>110</v>
      </c>
      <c r="B100" s="3">
        <v>46090</v>
      </c>
      <c r="C100" t="s">
        <v>429</v>
      </c>
      <c r="D100" t="s">
        <v>350</v>
      </c>
      <c r="E100" t="s">
        <v>365</v>
      </c>
      <c r="F100" t="s">
        <v>371</v>
      </c>
      <c r="G100">
        <v>2</v>
      </c>
      <c r="H100">
        <v>28702.880000000001</v>
      </c>
      <c r="I100">
        <v>57405.760000000002</v>
      </c>
      <c r="J100" t="s">
        <v>376</v>
      </c>
      <c r="K100" t="s">
        <v>384</v>
      </c>
      <c r="L100" t="s">
        <v>391</v>
      </c>
    </row>
    <row r="101" spans="1:12" x14ac:dyDescent="0.3">
      <c r="A101" t="s">
        <v>111</v>
      </c>
      <c r="B101" s="3">
        <v>46138</v>
      </c>
      <c r="C101" t="s">
        <v>424</v>
      </c>
      <c r="D101" t="s">
        <v>345</v>
      </c>
      <c r="E101" t="s">
        <v>365</v>
      </c>
      <c r="F101" t="s">
        <v>371</v>
      </c>
      <c r="G101">
        <v>2</v>
      </c>
      <c r="H101">
        <v>25214.98</v>
      </c>
      <c r="I101">
        <v>50429.96</v>
      </c>
      <c r="J101" t="s">
        <v>377</v>
      </c>
      <c r="K101" t="s">
        <v>383</v>
      </c>
      <c r="L101" t="s">
        <v>390</v>
      </c>
    </row>
    <row r="102" spans="1:12" x14ac:dyDescent="0.3">
      <c r="A102" t="s">
        <v>112</v>
      </c>
      <c r="B102" s="3">
        <v>46139</v>
      </c>
      <c r="C102" t="s">
        <v>411</v>
      </c>
      <c r="D102" t="s">
        <v>332</v>
      </c>
      <c r="E102" t="s">
        <v>357</v>
      </c>
      <c r="F102" t="s">
        <v>371</v>
      </c>
      <c r="G102">
        <v>3</v>
      </c>
      <c r="H102">
        <v>936.54</v>
      </c>
      <c r="I102">
        <v>2809.62</v>
      </c>
      <c r="J102" t="s">
        <v>377</v>
      </c>
      <c r="K102" t="s">
        <v>386</v>
      </c>
      <c r="L102" t="s">
        <v>389</v>
      </c>
    </row>
    <row r="103" spans="1:12" x14ac:dyDescent="0.3">
      <c r="A103" t="s">
        <v>113</v>
      </c>
      <c r="B103" s="3">
        <v>46162</v>
      </c>
      <c r="C103" t="s">
        <v>430</v>
      </c>
      <c r="D103" t="s">
        <v>351</v>
      </c>
      <c r="E103" t="s">
        <v>358</v>
      </c>
      <c r="F103" t="s">
        <v>372</v>
      </c>
      <c r="G103">
        <v>2</v>
      </c>
      <c r="H103">
        <v>3152.09</v>
      </c>
      <c r="I103">
        <v>6304.18</v>
      </c>
      <c r="J103" t="s">
        <v>377</v>
      </c>
      <c r="K103" t="s">
        <v>384</v>
      </c>
      <c r="L103" t="s">
        <v>390</v>
      </c>
    </row>
    <row r="104" spans="1:12" x14ac:dyDescent="0.3">
      <c r="A104" t="s">
        <v>114</v>
      </c>
      <c r="B104" s="3">
        <v>46175</v>
      </c>
      <c r="C104" t="s">
        <v>428</v>
      </c>
      <c r="D104" t="s">
        <v>349</v>
      </c>
      <c r="E104" t="s">
        <v>367</v>
      </c>
      <c r="F104" t="s">
        <v>371</v>
      </c>
      <c r="G104">
        <v>2</v>
      </c>
      <c r="H104">
        <v>47633.66</v>
      </c>
      <c r="I104">
        <v>95267.32</v>
      </c>
      <c r="J104" t="s">
        <v>381</v>
      </c>
      <c r="K104" t="s">
        <v>383</v>
      </c>
      <c r="L104" t="s">
        <v>390</v>
      </c>
    </row>
    <row r="105" spans="1:12" x14ac:dyDescent="0.3">
      <c r="A105" t="s">
        <v>115</v>
      </c>
      <c r="B105" s="3">
        <v>46264</v>
      </c>
      <c r="C105" t="s">
        <v>421</v>
      </c>
      <c r="D105" t="s">
        <v>342</v>
      </c>
      <c r="E105" t="s">
        <v>355</v>
      </c>
      <c r="F105" t="s">
        <v>369</v>
      </c>
      <c r="G105">
        <v>3</v>
      </c>
      <c r="H105">
        <v>727.96</v>
      </c>
      <c r="I105">
        <v>2183.88</v>
      </c>
      <c r="J105" t="s">
        <v>381</v>
      </c>
      <c r="K105" t="s">
        <v>385</v>
      </c>
      <c r="L105" t="s">
        <v>390</v>
      </c>
    </row>
    <row r="106" spans="1:12" x14ac:dyDescent="0.3">
      <c r="A106" t="s">
        <v>116</v>
      </c>
      <c r="B106" s="3">
        <v>46211</v>
      </c>
      <c r="C106" t="s">
        <v>422</v>
      </c>
      <c r="D106" t="s">
        <v>343</v>
      </c>
      <c r="E106" t="s">
        <v>363</v>
      </c>
      <c r="F106" t="s">
        <v>370</v>
      </c>
      <c r="G106">
        <v>1</v>
      </c>
      <c r="H106">
        <v>269.47000000000003</v>
      </c>
      <c r="I106">
        <v>269.47000000000003</v>
      </c>
      <c r="J106" t="s">
        <v>377</v>
      </c>
      <c r="K106" t="s">
        <v>383</v>
      </c>
      <c r="L106" t="s">
        <v>390</v>
      </c>
    </row>
    <row r="107" spans="1:12" x14ac:dyDescent="0.3">
      <c r="A107" t="s">
        <v>117</v>
      </c>
      <c r="B107" s="3">
        <v>46028</v>
      </c>
      <c r="C107" t="s">
        <v>426</v>
      </c>
      <c r="D107" t="s">
        <v>347</v>
      </c>
      <c r="E107" t="s">
        <v>360</v>
      </c>
      <c r="F107" t="s">
        <v>371</v>
      </c>
      <c r="G107">
        <v>5</v>
      </c>
      <c r="H107">
        <v>1831.36</v>
      </c>
      <c r="I107">
        <v>9156.7999999999993</v>
      </c>
      <c r="J107" t="s">
        <v>380</v>
      </c>
      <c r="K107" t="s">
        <v>384</v>
      </c>
      <c r="L107" t="s">
        <v>390</v>
      </c>
    </row>
    <row r="108" spans="1:12" x14ac:dyDescent="0.3">
      <c r="A108" t="s">
        <v>118</v>
      </c>
      <c r="B108" s="3">
        <v>46069</v>
      </c>
      <c r="C108" t="s">
        <v>413</v>
      </c>
      <c r="D108" t="s">
        <v>334</v>
      </c>
      <c r="E108" t="s">
        <v>356</v>
      </c>
      <c r="F108" t="s">
        <v>370</v>
      </c>
      <c r="G108">
        <v>4</v>
      </c>
      <c r="H108">
        <v>129.99</v>
      </c>
      <c r="I108">
        <v>519.96</v>
      </c>
      <c r="J108" t="s">
        <v>381</v>
      </c>
      <c r="K108" t="s">
        <v>383</v>
      </c>
      <c r="L108" t="s">
        <v>390</v>
      </c>
    </row>
    <row r="109" spans="1:12" x14ac:dyDescent="0.3">
      <c r="A109" t="s">
        <v>119</v>
      </c>
      <c r="B109" s="3">
        <v>46194</v>
      </c>
      <c r="C109" t="s">
        <v>429</v>
      </c>
      <c r="D109" t="s">
        <v>350</v>
      </c>
      <c r="E109" t="s">
        <v>364</v>
      </c>
      <c r="F109" t="s">
        <v>373</v>
      </c>
      <c r="G109">
        <v>4</v>
      </c>
      <c r="H109">
        <v>8216.6200000000008</v>
      </c>
      <c r="I109">
        <v>32866.480000000003</v>
      </c>
      <c r="J109" t="s">
        <v>378</v>
      </c>
      <c r="K109" t="s">
        <v>385</v>
      </c>
      <c r="L109" t="s">
        <v>389</v>
      </c>
    </row>
    <row r="110" spans="1:12" x14ac:dyDescent="0.3">
      <c r="A110" t="s">
        <v>120</v>
      </c>
      <c r="B110" s="3">
        <v>46125</v>
      </c>
      <c r="C110" t="s">
        <v>427</v>
      </c>
      <c r="D110" t="s">
        <v>348</v>
      </c>
      <c r="E110" t="s">
        <v>368</v>
      </c>
      <c r="F110" t="s">
        <v>373</v>
      </c>
      <c r="G110">
        <v>3</v>
      </c>
      <c r="H110">
        <v>6711.36</v>
      </c>
      <c r="I110">
        <v>20134.079999999998</v>
      </c>
      <c r="J110" t="s">
        <v>381</v>
      </c>
      <c r="K110" t="s">
        <v>383</v>
      </c>
      <c r="L110" t="s">
        <v>390</v>
      </c>
    </row>
    <row r="111" spans="1:12" x14ac:dyDescent="0.3">
      <c r="A111" t="s">
        <v>121</v>
      </c>
      <c r="B111" s="3">
        <v>46220</v>
      </c>
      <c r="C111" t="s">
        <v>421</v>
      </c>
      <c r="D111" t="s">
        <v>342</v>
      </c>
      <c r="E111" t="s">
        <v>357</v>
      </c>
      <c r="F111" t="s">
        <v>371</v>
      </c>
      <c r="G111">
        <v>3</v>
      </c>
      <c r="H111">
        <v>830.87</v>
      </c>
      <c r="I111">
        <v>2492.61</v>
      </c>
      <c r="J111" t="s">
        <v>380</v>
      </c>
      <c r="K111" t="s">
        <v>386</v>
      </c>
      <c r="L111" t="s">
        <v>390</v>
      </c>
    </row>
    <row r="112" spans="1:12" x14ac:dyDescent="0.3">
      <c r="A112" t="s">
        <v>122</v>
      </c>
      <c r="B112" s="3">
        <v>46115</v>
      </c>
      <c r="C112" t="s">
        <v>424</v>
      </c>
      <c r="D112" t="s">
        <v>345</v>
      </c>
      <c r="E112" t="s">
        <v>366</v>
      </c>
      <c r="F112" t="s">
        <v>373</v>
      </c>
      <c r="G112">
        <v>1</v>
      </c>
      <c r="H112">
        <v>11250.2</v>
      </c>
      <c r="I112">
        <v>11250.2</v>
      </c>
      <c r="J112" t="s">
        <v>381</v>
      </c>
      <c r="K112" t="s">
        <v>383</v>
      </c>
      <c r="L112" t="s">
        <v>390</v>
      </c>
    </row>
    <row r="113" spans="1:12" x14ac:dyDescent="0.3">
      <c r="A113" t="s">
        <v>123</v>
      </c>
      <c r="B113" s="3">
        <v>46096</v>
      </c>
      <c r="C113" t="s">
        <v>424</v>
      </c>
      <c r="D113" t="s">
        <v>345</v>
      </c>
      <c r="E113" t="s">
        <v>357</v>
      </c>
      <c r="F113" t="s">
        <v>371</v>
      </c>
      <c r="G113">
        <v>5</v>
      </c>
      <c r="H113">
        <v>833.58</v>
      </c>
      <c r="I113">
        <v>4167.9000000000005</v>
      </c>
      <c r="J113" t="s">
        <v>375</v>
      </c>
      <c r="K113" t="s">
        <v>383</v>
      </c>
      <c r="L113" t="s">
        <v>389</v>
      </c>
    </row>
    <row r="114" spans="1:12" x14ac:dyDescent="0.3">
      <c r="A114" t="s">
        <v>124</v>
      </c>
      <c r="B114" s="3">
        <v>46102</v>
      </c>
      <c r="C114" t="s">
        <v>412</v>
      </c>
      <c r="D114" t="s">
        <v>333</v>
      </c>
      <c r="E114" t="s">
        <v>363</v>
      </c>
      <c r="F114" t="s">
        <v>370</v>
      </c>
      <c r="G114">
        <v>2</v>
      </c>
      <c r="H114">
        <v>260.49</v>
      </c>
      <c r="I114">
        <v>520.98</v>
      </c>
      <c r="J114" t="s">
        <v>379</v>
      </c>
      <c r="K114" t="s">
        <v>383</v>
      </c>
      <c r="L114" t="s">
        <v>390</v>
      </c>
    </row>
    <row r="115" spans="1:12" x14ac:dyDescent="0.3">
      <c r="A115" t="s">
        <v>125</v>
      </c>
      <c r="B115" s="3">
        <v>46053</v>
      </c>
      <c r="C115" t="s">
        <v>424</v>
      </c>
      <c r="D115" t="s">
        <v>345</v>
      </c>
      <c r="E115" t="s">
        <v>359</v>
      </c>
      <c r="F115" t="s">
        <v>372</v>
      </c>
      <c r="G115">
        <v>1</v>
      </c>
      <c r="H115">
        <v>893.06</v>
      </c>
      <c r="I115">
        <v>893.06</v>
      </c>
      <c r="J115" t="s">
        <v>377</v>
      </c>
      <c r="K115" t="s">
        <v>386</v>
      </c>
      <c r="L115" t="s">
        <v>389</v>
      </c>
    </row>
    <row r="116" spans="1:12" x14ac:dyDescent="0.3">
      <c r="A116" t="s">
        <v>126</v>
      </c>
      <c r="B116" s="3">
        <v>46143</v>
      </c>
      <c r="C116" t="s">
        <v>431</v>
      </c>
      <c r="D116" t="s">
        <v>352</v>
      </c>
      <c r="E116" t="s">
        <v>357</v>
      </c>
      <c r="F116" t="s">
        <v>371</v>
      </c>
      <c r="G116">
        <v>4</v>
      </c>
      <c r="H116">
        <v>960.25</v>
      </c>
      <c r="I116">
        <v>3841</v>
      </c>
      <c r="J116" t="s">
        <v>374</v>
      </c>
      <c r="K116" t="s">
        <v>385</v>
      </c>
      <c r="L116" t="s">
        <v>390</v>
      </c>
    </row>
    <row r="117" spans="1:12" x14ac:dyDescent="0.3">
      <c r="A117" t="s">
        <v>127</v>
      </c>
      <c r="B117" s="3">
        <v>46248</v>
      </c>
      <c r="C117" t="s">
        <v>425</v>
      </c>
      <c r="D117" t="s">
        <v>346</v>
      </c>
      <c r="E117" t="s">
        <v>362</v>
      </c>
      <c r="F117" t="s">
        <v>372</v>
      </c>
      <c r="G117">
        <v>5</v>
      </c>
      <c r="H117">
        <v>2203.63</v>
      </c>
      <c r="I117">
        <v>11018.150000000001</v>
      </c>
      <c r="J117" t="s">
        <v>377</v>
      </c>
      <c r="K117" t="s">
        <v>385</v>
      </c>
      <c r="L117" t="s">
        <v>390</v>
      </c>
    </row>
    <row r="118" spans="1:12" x14ac:dyDescent="0.3">
      <c r="A118" t="s">
        <v>128</v>
      </c>
      <c r="B118" s="3">
        <v>46023</v>
      </c>
      <c r="C118" t="s">
        <v>428</v>
      </c>
      <c r="D118" t="s">
        <v>349</v>
      </c>
      <c r="E118" t="s">
        <v>362</v>
      </c>
      <c r="F118" t="s">
        <v>372</v>
      </c>
      <c r="G118">
        <v>5</v>
      </c>
      <c r="H118">
        <v>2097.56</v>
      </c>
      <c r="I118">
        <v>10487.8</v>
      </c>
      <c r="J118" t="s">
        <v>381</v>
      </c>
      <c r="K118" t="s">
        <v>384</v>
      </c>
      <c r="L118" t="s">
        <v>390</v>
      </c>
    </row>
    <row r="119" spans="1:12" x14ac:dyDescent="0.3">
      <c r="A119" t="s">
        <v>129</v>
      </c>
      <c r="B119" s="3">
        <v>46164</v>
      </c>
      <c r="C119" t="s">
        <v>416</v>
      </c>
      <c r="D119" t="s">
        <v>337</v>
      </c>
      <c r="E119" t="s">
        <v>356</v>
      </c>
      <c r="F119" t="s">
        <v>370</v>
      </c>
      <c r="G119">
        <v>4</v>
      </c>
      <c r="H119">
        <v>116.28</v>
      </c>
      <c r="I119">
        <v>465.12</v>
      </c>
      <c r="J119" t="s">
        <v>381</v>
      </c>
      <c r="K119" t="s">
        <v>387</v>
      </c>
      <c r="L119" t="s">
        <v>390</v>
      </c>
    </row>
    <row r="120" spans="1:12" x14ac:dyDescent="0.3">
      <c r="A120" t="s">
        <v>130</v>
      </c>
      <c r="B120" s="3">
        <v>46082</v>
      </c>
      <c r="C120" t="s">
        <v>427</v>
      </c>
      <c r="D120" t="s">
        <v>348</v>
      </c>
      <c r="E120" t="s">
        <v>355</v>
      </c>
      <c r="F120" t="s">
        <v>369</v>
      </c>
      <c r="G120">
        <v>2</v>
      </c>
      <c r="H120">
        <v>710.05</v>
      </c>
      <c r="I120">
        <v>1420.1</v>
      </c>
      <c r="J120" t="s">
        <v>378</v>
      </c>
      <c r="K120" t="s">
        <v>385</v>
      </c>
      <c r="L120" t="s">
        <v>389</v>
      </c>
    </row>
    <row r="121" spans="1:12" x14ac:dyDescent="0.3">
      <c r="A121" t="s">
        <v>131</v>
      </c>
      <c r="B121" s="3">
        <v>46192</v>
      </c>
      <c r="C121" t="s">
        <v>424</v>
      </c>
      <c r="D121" t="s">
        <v>345</v>
      </c>
      <c r="E121" t="s">
        <v>362</v>
      </c>
      <c r="F121" t="s">
        <v>372</v>
      </c>
      <c r="G121">
        <v>4</v>
      </c>
      <c r="H121">
        <v>2149.87</v>
      </c>
      <c r="I121">
        <v>8599.48</v>
      </c>
      <c r="J121" t="s">
        <v>380</v>
      </c>
      <c r="K121" t="s">
        <v>384</v>
      </c>
      <c r="L121" t="s">
        <v>391</v>
      </c>
    </row>
    <row r="122" spans="1:12" x14ac:dyDescent="0.3">
      <c r="A122" t="s">
        <v>132</v>
      </c>
      <c r="B122" s="3">
        <v>46246</v>
      </c>
      <c r="C122" t="s">
        <v>423</v>
      </c>
      <c r="D122" t="s">
        <v>344</v>
      </c>
      <c r="E122" t="s">
        <v>363</v>
      </c>
      <c r="F122" t="s">
        <v>370</v>
      </c>
      <c r="G122">
        <v>3</v>
      </c>
      <c r="H122">
        <v>268.49</v>
      </c>
      <c r="I122">
        <v>805.47</v>
      </c>
      <c r="J122" t="s">
        <v>381</v>
      </c>
      <c r="K122" t="s">
        <v>383</v>
      </c>
      <c r="L122" t="s">
        <v>389</v>
      </c>
    </row>
    <row r="123" spans="1:12" x14ac:dyDescent="0.3">
      <c r="A123" t="s">
        <v>133</v>
      </c>
      <c r="B123" s="3">
        <v>46062</v>
      </c>
      <c r="C123" t="s">
        <v>424</v>
      </c>
      <c r="D123" t="s">
        <v>345</v>
      </c>
      <c r="E123" t="s">
        <v>361</v>
      </c>
      <c r="F123" t="s">
        <v>371</v>
      </c>
      <c r="G123">
        <v>4</v>
      </c>
      <c r="H123">
        <v>2685.47</v>
      </c>
      <c r="I123">
        <v>10741.88</v>
      </c>
      <c r="J123" t="s">
        <v>377</v>
      </c>
      <c r="K123" t="s">
        <v>387</v>
      </c>
      <c r="L123" t="s">
        <v>391</v>
      </c>
    </row>
    <row r="124" spans="1:12" x14ac:dyDescent="0.3">
      <c r="A124" t="s">
        <v>134</v>
      </c>
      <c r="B124" s="3">
        <v>46241</v>
      </c>
      <c r="C124" t="s">
        <v>420</v>
      </c>
      <c r="D124" t="s">
        <v>341</v>
      </c>
      <c r="E124" t="s">
        <v>355</v>
      </c>
      <c r="F124" t="s">
        <v>369</v>
      </c>
      <c r="G124">
        <v>4</v>
      </c>
      <c r="H124">
        <v>720.98</v>
      </c>
      <c r="I124">
        <v>2883.92</v>
      </c>
      <c r="J124" t="s">
        <v>379</v>
      </c>
      <c r="K124" t="s">
        <v>387</v>
      </c>
      <c r="L124" t="s">
        <v>389</v>
      </c>
    </row>
    <row r="125" spans="1:12" x14ac:dyDescent="0.3">
      <c r="A125" t="s">
        <v>135</v>
      </c>
      <c r="B125" s="3">
        <v>46032</v>
      </c>
      <c r="C125" t="s">
        <v>425</v>
      </c>
      <c r="D125" t="s">
        <v>346</v>
      </c>
      <c r="E125" t="s">
        <v>355</v>
      </c>
      <c r="F125" t="s">
        <v>369</v>
      </c>
      <c r="G125">
        <v>4</v>
      </c>
      <c r="H125">
        <v>752.13</v>
      </c>
      <c r="I125">
        <v>3008.52</v>
      </c>
      <c r="J125" t="s">
        <v>376</v>
      </c>
      <c r="K125" t="s">
        <v>387</v>
      </c>
      <c r="L125" t="s">
        <v>390</v>
      </c>
    </row>
    <row r="126" spans="1:12" x14ac:dyDescent="0.3">
      <c r="A126" t="s">
        <v>136</v>
      </c>
      <c r="B126" s="3">
        <v>46048</v>
      </c>
      <c r="C126" t="s">
        <v>431</v>
      </c>
      <c r="D126" t="s">
        <v>352</v>
      </c>
      <c r="E126" t="s">
        <v>355</v>
      </c>
      <c r="F126" t="s">
        <v>369</v>
      </c>
      <c r="G126">
        <v>1</v>
      </c>
      <c r="H126">
        <v>690.76</v>
      </c>
      <c r="I126">
        <v>690.76</v>
      </c>
      <c r="J126" t="s">
        <v>374</v>
      </c>
      <c r="K126" t="s">
        <v>387</v>
      </c>
      <c r="L126" t="s">
        <v>390</v>
      </c>
    </row>
    <row r="127" spans="1:12" x14ac:dyDescent="0.3">
      <c r="A127" t="s">
        <v>137</v>
      </c>
      <c r="B127" s="3">
        <v>46098</v>
      </c>
      <c r="C127" t="s">
        <v>415</v>
      </c>
      <c r="D127" t="s">
        <v>336</v>
      </c>
      <c r="E127" t="s">
        <v>367</v>
      </c>
      <c r="F127" t="s">
        <v>371</v>
      </c>
      <c r="G127">
        <v>3</v>
      </c>
      <c r="H127">
        <v>47665.29</v>
      </c>
      <c r="I127">
        <v>142995.87</v>
      </c>
      <c r="J127" t="s">
        <v>379</v>
      </c>
      <c r="K127" t="s">
        <v>384</v>
      </c>
      <c r="L127" t="s">
        <v>390</v>
      </c>
    </row>
    <row r="128" spans="1:12" x14ac:dyDescent="0.3">
      <c r="A128" t="s">
        <v>138</v>
      </c>
      <c r="B128" s="3">
        <v>46225</v>
      </c>
      <c r="C128" t="s">
        <v>429</v>
      </c>
      <c r="D128" t="s">
        <v>350</v>
      </c>
      <c r="E128" t="s">
        <v>356</v>
      </c>
      <c r="F128" t="s">
        <v>370</v>
      </c>
      <c r="G128">
        <v>4</v>
      </c>
      <c r="H128">
        <v>121.58</v>
      </c>
      <c r="I128">
        <v>486.32</v>
      </c>
      <c r="J128" t="s">
        <v>374</v>
      </c>
      <c r="K128" t="s">
        <v>383</v>
      </c>
      <c r="L128" t="s">
        <v>391</v>
      </c>
    </row>
    <row r="129" spans="1:12" x14ac:dyDescent="0.3">
      <c r="A129" t="s">
        <v>139</v>
      </c>
      <c r="B129" s="3">
        <v>46084</v>
      </c>
      <c r="C129" t="s">
        <v>426</v>
      </c>
      <c r="D129" t="s">
        <v>347</v>
      </c>
      <c r="E129" t="s">
        <v>359</v>
      </c>
      <c r="F129" t="s">
        <v>372</v>
      </c>
      <c r="G129">
        <v>4</v>
      </c>
      <c r="H129">
        <v>921.55</v>
      </c>
      <c r="I129">
        <v>3686.2</v>
      </c>
      <c r="J129" t="s">
        <v>374</v>
      </c>
      <c r="K129" t="s">
        <v>384</v>
      </c>
      <c r="L129" t="s">
        <v>390</v>
      </c>
    </row>
    <row r="130" spans="1:12" x14ac:dyDescent="0.3">
      <c r="A130" t="s">
        <v>140</v>
      </c>
      <c r="B130" s="3">
        <v>46193</v>
      </c>
      <c r="C130" t="s">
        <v>431</v>
      </c>
      <c r="D130" t="s">
        <v>352</v>
      </c>
      <c r="E130" t="s">
        <v>354</v>
      </c>
      <c r="F130" t="s">
        <v>369</v>
      </c>
      <c r="G130">
        <v>3</v>
      </c>
      <c r="H130">
        <v>1785.45</v>
      </c>
      <c r="I130">
        <v>5356.35</v>
      </c>
      <c r="J130" t="s">
        <v>377</v>
      </c>
      <c r="K130" t="s">
        <v>386</v>
      </c>
      <c r="L130" t="s">
        <v>390</v>
      </c>
    </row>
    <row r="131" spans="1:12" x14ac:dyDescent="0.3">
      <c r="A131" t="s">
        <v>141</v>
      </c>
      <c r="B131" s="3">
        <v>46173</v>
      </c>
      <c r="C131" t="s">
        <v>413</v>
      </c>
      <c r="D131" t="s">
        <v>334</v>
      </c>
      <c r="E131" t="s">
        <v>365</v>
      </c>
      <c r="F131" t="s">
        <v>371</v>
      </c>
      <c r="G131">
        <v>4</v>
      </c>
      <c r="H131">
        <v>30493.32</v>
      </c>
      <c r="I131">
        <v>121973.28</v>
      </c>
      <c r="J131" t="s">
        <v>377</v>
      </c>
      <c r="K131" t="s">
        <v>385</v>
      </c>
      <c r="L131" t="s">
        <v>390</v>
      </c>
    </row>
    <row r="132" spans="1:12" x14ac:dyDescent="0.3">
      <c r="A132" t="s">
        <v>142</v>
      </c>
      <c r="B132" s="3">
        <v>46050</v>
      </c>
      <c r="C132" t="s">
        <v>416</v>
      </c>
      <c r="D132" t="s">
        <v>337</v>
      </c>
      <c r="E132" t="s">
        <v>360</v>
      </c>
      <c r="F132" t="s">
        <v>371</v>
      </c>
      <c r="G132">
        <v>4</v>
      </c>
      <c r="H132">
        <v>1927.2</v>
      </c>
      <c r="I132">
        <v>7708.8</v>
      </c>
      <c r="J132" t="s">
        <v>378</v>
      </c>
      <c r="K132" t="s">
        <v>386</v>
      </c>
      <c r="L132" t="s">
        <v>390</v>
      </c>
    </row>
    <row r="133" spans="1:12" x14ac:dyDescent="0.3">
      <c r="A133" t="s">
        <v>143</v>
      </c>
      <c r="B133" s="3">
        <v>46235</v>
      </c>
      <c r="C133" t="s">
        <v>419</v>
      </c>
      <c r="D133" t="s">
        <v>340</v>
      </c>
      <c r="E133" t="s">
        <v>355</v>
      </c>
      <c r="F133" t="s">
        <v>369</v>
      </c>
      <c r="G133">
        <v>3</v>
      </c>
      <c r="H133">
        <v>633.07000000000005</v>
      </c>
      <c r="I133">
        <v>1899.21</v>
      </c>
      <c r="J133" t="s">
        <v>380</v>
      </c>
      <c r="K133" t="s">
        <v>386</v>
      </c>
      <c r="L133" t="s">
        <v>389</v>
      </c>
    </row>
    <row r="134" spans="1:12" x14ac:dyDescent="0.3">
      <c r="A134" t="s">
        <v>144</v>
      </c>
      <c r="B134" s="3">
        <v>46213</v>
      </c>
      <c r="C134" t="s">
        <v>428</v>
      </c>
      <c r="D134" t="s">
        <v>349</v>
      </c>
      <c r="E134" t="s">
        <v>358</v>
      </c>
      <c r="F134" t="s">
        <v>372</v>
      </c>
      <c r="G134">
        <v>1</v>
      </c>
      <c r="H134">
        <v>3462.79</v>
      </c>
      <c r="I134">
        <v>3462.79</v>
      </c>
      <c r="J134" t="s">
        <v>376</v>
      </c>
      <c r="K134" t="s">
        <v>386</v>
      </c>
      <c r="L134" t="s">
        <v>390</v>
      </c>
    </row>
    <row r="135" spans="1:12" x14ac:dyDescent="0.3">
      <c r="A135" t="s">
        <v>145</v>
      </c>
      <c r="B135" s="3">
        <v>46196</v>
      </c>
      <c r="C135" t="s">
        <v>423</v>
      </c>
      <c r="D135" t="s">
        <v>344</v>
      </c>
      <c r="E135" t="s">
        <v>360</v>
      </c>
      <c r="F135" t="s">
        <v>371</v>
      </c>
      <c r="G135">
        <v>2</v>
      </c>
      <c r="H135">
        <v>1843.52</v>
      </c>
      <c r="I135">
        <v>3687.04</v>
      </c>
      <c r="J135" t="s">
        <v>380</v>
      </c>
      <c r="K135" t="s">
        <v>387</v>
      </c>
      <c r="L135" t="s">
        <v>390</v>
      </c>
    </row>
    <row r="136" spans="1:12" x14ac:dyDescent="0.3">
      <c r="A136" t="s">
        <v>146</v>
      </c>
      <c r="B136" s="3">
        <v>46056</v>
      </c>
      <c r="C136" t="s">
        <v>428</v>
      </c>
      <c r="D136" t="s">
        <v>349</v>
      </c>
      <c r="E136" t="s">
        <v>367</v>
      </c>
      <c r="F136" t="s">
        <v>371</v>
      </c>
      <c r="G136">
        <v>5</v>
      </c>
      <c r="H136">
        <v>43783.75</v>
      </c>
      <c r="I136">
        <v>218918.75</v>
      </c>
      <c r="J136" t="s">
        <v>378</v>
      </c>
      <c r="K136" t="s">
        <v>385</v>
      </c>
      <c r="L136" t="s">
        <v>390</v>
      </c>
    </row>
    <row r="137" spans="1:12" x14ac:dyDescent="0.3">
      <c r="A137" t="s">
        <v>147</v>
      </c>
      <c r="B137" s="3">
        <v>46247</v>
      </c>
      <c r="C137" t="s">
        <v>421</v>
      </c>
      <c r="D137" t="s">
        <v>342</v>
      </c>
      <c r="E137" t="s">
        <v>360</v>
      </c>
      <c r="F137" t="s">
        <v>371</v>
      </c>
      <c r="G137">
        <v>2</v>
      </c>
      <c r="H137">
        <v>1903.14</v>
      </c>
      <c r="I137">
        <v>3806.28</v>
      </c>
      <c r="J137" t="s">
        <v>377</v>
      </c>
      <c r="K137" t="s">
        <v>384</v>
      </c>
      <c r="L137" t="s">
        <v>390</v>
      </c>
    </row>
    <row r="138" spans="1:12" x14ac:dyDescent="0.3">
      <c r="A138" t="s">
        <v>148</v>
      </c>
      <c r="B138" s="3">
        <v>46098</v>
      </c>
      <c r="C138" t="s">
        <v>423</v>
      </c>
      <c r="D138" t="s">
        <v>344</v>
      </c>
      <c r="E138" t="s">
        <v>362</v>
      </c>
      <c r="F138" t="s">
        <v>372</v>
      </c>
      <c r="G138">
        <v>4</v>
      </c>
      <c r="H138">
        <v>2405.65</v>
      </c>
      <c r="I138">
        <v>9622.6</v>
      </c>
      <c r="J138" t="s">
        <v>381</v>
      </c>
      <c r="K138" t="s">
        <v>383</v>
      </c>
      <c r="L138" t="s">
        <v>390</v>
      </c>
    </row>
    <row r="139" spans="1:12" x14ac:dyDescent="0.3">
      <c r="A139" t="s">
        <v>149</v>
      </c>
      <c r="B139" s="3">
        <v>46208</v>
      </c>
      <c r="C139" t="s">
        <v>420</v>
      </c>
      <c r="D139" t="s">
        <v>341</v>
      </c>
      <c r="E139" t="s">
        <v>358</v>
      </c>
      <c r="F139" t="s">
        <v>372</v>
      </c>
      <c r="G139">
        <v>2</v>
      </c>
      <c r="H139">
        <v>3430.49</v>
      </c>
      <c r="I139">
        <v>6860.98</v>
      </c>
      <c r="J139" t="s">
        <v>378</v>
      </c>
      <c r="K139" t="s">
        <v>383</v>
      </c>
      <c r="L139" t="s">
        <v>390</v>
      </c>
    </row>
    <row r="140" spans="1:12" x14ac:dyDescent="0.3">
      <c r="A140" t="s">
        <v>150</v>
      </c>
      <c r="B140" s="3">
        <v>46139</v>
      </c>
      <c r="C140" t="s">
        <v>419</v>
      </c>
      <c r="D140" t="s">
        <v>340</v>
      </c>
      <c r="E140" t="s">
        <v>367</v>
      </c>
      <c r="F140" t="s">
        <v>371</v>
      </c>
      <c r="G140">
        <v>3</v>
      </c>
      <c r="H140">
        <v>45329.15</v>
      </c>
      <c r="I140">
        <v>135987.45000000001</v>
      </c>
      <c r="J140" t="s">
        <v>379</v>
      </c>
      <c r="K140" t="s">
        <v>387</v>
      </c>
      <c r="L140" t="s">
        <v>390</v>
      </c>
    </row>
    <row r="141" spans="1:12" x14ac:dyDescent="0.3">
      <c r="A141" t="s">
        <v>151</v>
      </c>
      <c r="B141" s="3">
        <v>46181</v>
      </c>
      <c r="C141" t="s">
        <v>414</v>
      </c>
      <c r="D141" t="s">
        <v>335</v>
      </c>
      <c r="E141" t="s">
        <v>354</v>
      </c>
      <c r="F141" t="s">
        <v>369</v>
      </c>
      <c r="G141">
        <v>2</v>
      </c>
      <c r="H141">
        <v>1789.73</v>
      </c>
      <c r="I141">
        <v>3579.46</v>
      </c>
      <c r="J141" t="s">
        <v>376</v>
      </c>
      <c r="K141" t="s">
        <v>383</v>
      </c>
      <c r="L141" t="s">
        <v>389</v>
      </c>
    </row>
    <row r="142" spans="1:12" x14ac:dyDescent="0.3">
      <c r="A142" t="s">
        <v>152</v>
      </c>
      <c r="B142" s="3">
        <v>46100</v>
      </c>
      <c r="C142" t="s">
        <v>423</v>
      </c>
      <c r="D142" t="s">
        <v>344</v>
      </c>
      <c r="E142" t="s">
        <v>359</v>
      </c>
      <c r="F142" t="s">
        <v>372</v>
      </c>
      <c r="G142">
        <v>4</v>
      </c>
      <c r="H142">
        <v>973.69</v>
      </c>
      <c r="I142">
        <v>3894.76</v>
      </c>
      <c r="J142" t="s">
        <v>374</v>
      </c>
      <c r="K142" t="s">
        <v>383</v>
      </c>
      <c r="L142" t="s">
        <v>390</v>
      </c>
    </row>
    <row r="143" spans="1:12" x14ac:dyDescent="0.3">
      <c r="A143" t="s">
        <v>153</v>
      </c>
      <c r="B143" s="3">
        <v>46083</v>
      </c>
      <c r="C143" t="s">
        <v>430</v>
      </c>
      <c r="D143" t="s">
        <v>351</v>
      </c>
      <c r="E143" t="s">
        <v>357</v>
      </c>
      <c r="F143" t="s">
        <v>371</v>
      </c>
      <c r="G143">
        <v>4</v>
      </c>
      <c r="H143">
        <v>830.9</v>
      </c>
      <c r="I143">
        <v>3323.6</v>
      </c>
      <c r="J143" t="s">
        <v>379</v>
      </c>
      <c r="K143" t="s">
        <v>385</v>
      </c>
      <c r="L143" t="s">
        <v>390</v>
      </c>
    </row>
    <row r="144" spans="1:12" x14ac:dyDescent="0.3">
      <c r="A144" t="s">
        <v>154</v>
      </c>
      <c r="B144" s="3">
        <v>46213</v>
      </c>
      <c r="C144" t="s">
        <v>413</v>
      </c>
      <c r="D144" t="s">
        <v>334</v>
      </c>
      <c r="E144" t="s">
        <v>354</v>
      </c>
      <c r="F144" t="s">
        <v>369</v>
      </c>
      <c r="G144">
        <v>5</v>
      </c>
      <c r="H144">
        <v>1770.89</v>
      </c>
      <c r="I144">
        <v>8854.4500000000007</v>
      </c>
      <c r="J144" t="s">
        <v>375</v>
      </c>
      <c r="K144" t="s">
        <v>385</v>
      </c>
      <c r="L144" t="s">
        <v>391</v>
      </c>
    </row>
    <row r="145" spans="1:12" x14ac:dyDescent="0.3">
      <c r="A145" t="s">
        <v>155</v>
      </c>
      <c r="B145" s="3">
        <v>46117</v>
      </c>
      <c r="C145" t="s">
        <v>431</v>
      </c>
      <c r="D145" t="s">
        <v>352</v>
      </c>
      <c r="E145" t="s">
        <v>366</v>
      </c>
      <c r="F145" t="s">
        <v>373</v>
      </c>
      <c r="G145">
        <v>3</v>
      </c>
      <c r="H145">
        <v>10878.52</v>
      </c>
      <c r="I145">
        <v>32635.56</v>
      </c>
      <c r="J145" t="s">
        <v>381</v>
      </c>
      <c r="K145" t="s">
        <v>384</v>
      </c>
      <c r="L145" t="s">
        <v>390</v>
      </c>
    </row>
    <row r="146" spans="1:12" x14ac:dyDescent="0.3">
      <c r="A146" t="s">
        <v>156</v>
      </c>
      <c r="B146" s="3">
        <v>46188</v>
      </c>
      <c r="C146" t="s">
        <v>427</v>
      </c>
      <c r="D146" t="s">
        <v>348</v>
      </c>
      <c r="E146" t="s">
        <v>365</v>
      </c>
      <c r="F146" t="s">
        <v>371</v>
      </c>
      <c r="G146">
        <v>3</v>
      </c>
      <c r="H146">
        <v>28249.01</v>
      </c>
      <c r="I146">
        <v>84747.03</v>
      </c>
      <c r="J146" t="s">
        <v>379</v>
      </c>
      <c r="K146" t="s">
        <v>387</v>
      </c>
      <c r="L146" t="s">
        <v>390</v>
      </c>
    </row>
    <row r="147" spans="1:12" x14ac:dyDescent="0.3">
      <c r="A147" t="s">
        <v>157</v>
      </c>
      <c r="B147" s="3">
        <v>46077</v>
      </c>
      <c r="C147" t="s">
        <v>412</v>
      </c>
      <c r="D147" t="s">
        <v>333</v>
      </c>
      <c r="E147" t="s">
        <v>365</v>
      </c>
      <c r="F147" t="s">
        <v>371</v>
      </c>
      <c r="G147">
        <v>4</v>
      </c>
      <c r="H147">
        <v>25713.37</v>
      </c>
      <c r="I147">
        <v>102853.48</v>
      </c>
      <c r="J147" t="s">
        <v>380</v>
      </c>
      <c r="K147" t="s">
        <v>387</v>
      </c>
      <c r="L147" t="s">
        <v>390</v>
      </c>
    </row>
    <row r="148" spans="1:12" x14ac:dyDescent="0.3">
      <c r="A148" t="s">
        <v>158</v>
      </c>
      <c r="B148" s="3">
        <v>46235</v>
      </c>
      <c r="C148" t="s">
        <v>417</v>
      </c>
      <c r="D148" t="s">
        <v>338</v>
      </c>
      <c r="E148" t="s">
        <v>361</v>
      </c>
      <c r="F148" t="s">
        <v>371</v>
      </c>
      <c r="G148">
        <v>5</v>
      </c>
      <c r="H148">
        <v>2352.6</v>
      </c>
      <c r="I148">
        <v>11763</v>
      </c>
      <c r="J148" t="s">
        <v>376</v>
      </c>
      <c r="K148" t="s">
        <v>384</v>
      </c>
      <c r="L148" t="s">
        <v>390</v>
      </c>
    </row>
    <row r="149" spans="1:12" x14ac:dyDescent="0.3">
      <c r="A149" t="s">
        <v>159</v>
      </c>
      <c r="B149" s="3">
        <v>46175</v>
      </c>
      <c r="C149" t="s">
        <v>419</v>
      </c>
      <c r="D149" t="s">
        <v>340</v>
      </c>
      <c r="E149" t="s">
        <v>358</v>
      </c>
      <c r="F149" t="s">
        <v>372</v>
      </c>
      <c r="G149">
        <v>2</v>
      </c>
      <c r="H149">
        <v>3384.73</v>
      </c>
      <c r="I149">
        <v>6769.46</v>
      </c>
      <c r="J149" t="s">
        <v>374</v>
      </c>
      <c r="K149" t="s">
        <v>384</v>
      </c>
      <c r="L149" t="s">
        <v>391</v>
      </c>
    </row>
    <row r="150" spans="1:12" x14ac:dyDescent="0.3">
      <c r="A150" t="s">
        <v>160</v>
      </c>
      <c r="B150" s="3">
        <v>46244</v>
      </c>
      <c r="C150" t="s">
        <v>430</v>
      </c>
      <c r="D150" t="s">
        <v>351</v>
      </c>
      <c r="E150" t="s">
        <v>357</v>
      </c>
      <c r="F150" t="s">
        <v>371</v>
      </c>
      <c r="G150">
        <v>2</v>
      </c>
      <c r="H150">
        <v>829.79</v>
      </c>
      <c r="I150">
        <v>1659.58</v>
      </c>
      <c r="J150" t="s">
        <v>380</v>
      </c>
      <c r="K150" t="s">
        <v>387</v>
      </c>
      <c r="L150" t="s">
        <v>390</v>
      </c>
    </row>
    <row r="151" spans="1:12" x14ac:dyDescent="0.3">
      <c r="A151" t="s">
        <v>161</v>
      </c>
      <c r="B151" s="3">
        <v>46090</v>
      </c>
      <c r="C151" t="s">
        <v>430</v>
      </c>
      <c r="D151" t="s">
        <v>351</v>
      </c>
      <c r="E151" t="s">
        <v>363</v>
      </c>
      <c r="F151" t="s">
        <v>370</v>
      </c>
      <c r="G151">
        <v>3</v>
      </c>
      <c r="H151">
        <v>225.79</v>
      </c>
      <c r="I151">
        <v>677.37</v>
      </c>
      <c r="J151" t="s">
        <v>379</v>
      </c>
      <c r="K151" t="s">
        <v>386</v>
      </c>
      <c r="L151" t="s">
        <v>390</v>
      </c>
    </row>
    <row r="152" spans="1:12" x14ac:dyDescent="0.3">
      <c r="A152" t="s">
        <v>162</v>
      </c>
      <c r="B152" s="3">
        <v>46222</v>
      </c>
      <c r="C152" t="s">
        <v>421</v>
      </c>
      <c r="D152" t="s">
        <v>342</v>
      </c>
      <c r="E152" t="s">
        <v>355</v>
      </c>
      <c r="F152" t="s">
        <v>369</v>
      </c>
      <c r="G152">
        <v>1</v>
      </c>
      <c r="H152">
        <v>696.67</v>
      </c>
      <c r="I152">
        <v>696.67</v>
      </c>
      <c r="J152" t="s">
        <v>375</v>
      </c>
      <c r="K152" t="s">
        <v>385</v>
      </c>
      <c r="L152" t="s">
        <v>391</v>
      </c>
    </row>
    <row r="153" spans="1:12" x14ac:dyDescent="0.3">
      <c r="A153" t="s">
        <v>163</v>
      </c>
      <c r="B153" s="3">
        <v>46223</v>
      </c>
      <c r="C153" t="s">
        <v>428</v>
      </c>
      <c r="D153" t="s">
        <v>349</v>
      </c>
      <c r="E153" t="s">
        <v>360</v>
      </c>
      <c r="F153" t="s">
        <v>371</v>
      </c>
      <c r="G153">
        <v>5</v>
      </c>
      <c r="H153">
        <v>1635.61</v>
      </c>
      <c r="I153">
        <v>8178.0499999999993</v>
      </c>
      <c r="J153" t="s">
        <v>381</v>
      </c>
      <c r="K153" t="s">
        <v>383</v>
      </c>
      <c r="L153" t="s">
        <v>390</v>
      </c>
    </row>
    <row r="154" spans="1:12" x14ac:dyDescent="0.3">
      <c r="A154" t="s">
        <v>164</v>
      </c>
      <c r="B154" s="3">
        <v>46050</v>
      </c>
      <c r="C154" t="s">
        <v>431</v>
      </c>
      <c r="D154" t="s">
        <v>352</v>
      </c>
      <c r="E154" t="s">
        <v>368</v>
      </c>
      <c r="F154" t="s">
        <v>373</v>
      </c>
      <c r="G154">
        <v>4</v>
      </c>
      <c r="H154">
        <v>6404.16</v>
      </c>
      <c r="I154">
        <v>25616.639999999999</v>
      </c>
      <c r="J154" t="s">
        <v>375</v>
      </c>
      <c r="K154" t="s">
        <v>383</v>
      </c>
      <c r="L154" t="s">
        <v>390</v>
      </c>
    </row>
    <row r="155" spans="1:12" x14ac:dyDescent="0.3">
      <c r="A155" t="s">
        <v>165</v>
      </c>
      <c r="B155" s="3">
        <v>46093</v>
      </c>
      <c r="C155" t="s">
        <v>426</v>
      </c>
      <c r="D155" t="s">
        <v>347</v>
      </c>
      <c r="E155" t="s">
        <v>363</v>
      </c>
      <c r="F155" t="s">
        <v>370</v>
      </c>
      <c r="G155">
        <v>2</v>
      </c>
      <c r="H155">
        <v>228.28</v>
      </c>
      <c r="I155">
        <v>456.56</v>
      </c>
      <c r="J155" t="s">
        <v>378</v>
      </c>
      <c r="K155" t="s">
        <v>385</v>
      </c>
      <c r="L155" t="s">
        <v>391</v>
      </c>
    </row>
    <row r="156" spans="1:12" x14ac:dyDescent="0.3">
      <c r="A156" t="s">
        <v>166</v>
      </c>
      <c r="B156" s="3">
        <v>46177</v>
      </c>
      <c r="C156" t="s">
        <v>423</v>
      </c>
      <c r="D156" t="s">
        <v>344</v>
      </c>
      <c r="E156" t="s">
        <v>356</v>
      </c>
      <c r="F156" t="s">
        <v>370</v>
      </c>
      <c r="G156">
        <v>3</v>
      </c>
      <c r="H156">
        <v>118.89</v>
      </c>
      <c r="I156">
        <v>356.67</v>
      </c>
      <c r="J156" t="s">
        <v>375</v>
      </c>
      <c r="K156" t="s">
        <v>386</v>
      </c>
      <c r="L156" t="s">
        <v>389</v>
      </c>
    </row>
    <row r="157" spans="1:12" x14ac:dyDescent="0.3">
      <c r="A157" t="s">
        <v>167</v>
      </c>
      <c r="B157" s="3">
        <v>46250</v>
      </c>
      <c r="C157" t="s">
        <v>413</v>
      </c>
      <c r="D157" t="s">
        <v>334</v>
      </c>
      <c r="E157" t="s">
        <v>359</v>
      </c>
      <c r="F157" t="s">
        <v>372</v>
      </c>
      <c r="G157">
        <v>2</v>
      </c>
      <c r="H157">
        <v>887.41</v>
      </c>
      <c r="I157">
        <v>1774.82</v>
      </c>
      <c r="J157" t="s">
        <v>378</v>
      </c>
      <c r="K157" t="s">
        <v>385</v>
      </c>
      <c r="L157" t="s">
        <v>390</v>
      </c>
    </row>
    <row r="158" spans="1:12" x14ac:dyDescent="0.3">
      <c r="A158" t="s">
        <v>168</v>
      </c>
      <c r="B158" s="3">
        <v>46103</v>
      </c>
      <c r="C158" t="s">
        <v>415</v>
      </c>
      <c r="D158" t="s">
        <v>336</v>
      </c>
      <c r="E158" t="s">
        <v>366</v>
      </c>
      <c r="F158" t="s">
        <v>373</v>
      </c>
      <c r="G158">
        <v>1</v>
      </c>
      <c r="H158">
        <v>11550.12</v>
      </c>
      <c r="I158">
        <v>11550.12</v>
      </c>
      <c r="J158" t="s">
        <v>374</v>
      </c>
      <c r="K158" t="s">
        <v>385</v>
      </c>
      <c r="L158" t="s">
        <v>390</v>
      </c>
    </row>
    <row r="159" spans="1:12" x14ac:dyDescent="0.3">
      <c r="A159" t="s">
        <v>169</v>
      </c>
      <c r="B159" s="3">
        <v>46047</v>
      </c>
      <c r="C159" t="s">
        <v>430</v>
      </c>
      <c r="D159" t="s">
        <v>351</v>
      </c>
      <c r="E159" t="s">
        <v>365</v>
      </c>
      <c r="F159" t="s">
        <v>371</v>
      </c>
      <c r="G159">
        <v>1</v>
      </c>
      <c r="H159">
        <v>25722.09</v>
      </c>
      <c r="I159">
        <v>25722.09</v>
      </c>
      <c r="J159" t="s">
        <v>380</v>
      </c>
      <c r="K159" t="s">
        <v>386</v>
      </c>
      <c r="L159" t="s">
        <v>391</v>
      </c>
    </row>
    <row r="160" spans="1:12" x14ac:dyDescent="0.3">
      <c r="A160" t="s">
        <v>170</v>
      </c>
      <c r="B160" s="3">
        <v>46128</v>
      </c>
      <c r="C160" t="s">
        <v>413</v>
      </c>
      <c r="D160" t="s">
        <v>334</v>
      </c>
      <c r="E160" t="s">
        <v>356</v>
      </c>
      <c r="F160" t="s">
        <v>370</v>
      </c>
      <c r="G160">
        <v>3</v>
      </c>
      <c r="H160">
        <v>124.08</v>
      </c>
      <c r="I160">
        <v>372.24</v>
      </c>
      <c r="J160" t="s">
        <v>380</v>
      </c>
      <c r="K160" t="s">
        <v>387</v>
      </c>
      <c r="L160" t="s">
        <v>391</v>
      </c>
    </row>
    <row r="161" spans="1:12" x14ac:dyDescent="0.3">
      <c r="A161" t="s">
        <v>171</v>
      </c>
      <c r="B161" s="3">
        <v>46152</v>
      </c>
      <c r="C161" t="s">
        <v>430</v>
      </c>
      <c r="D161" t="s">
        <v>351</v>
      </c>
      <c r="E161" t="s">
        <v>357</v>
      </c>
      <c r="F161" t="s">
        <v>371</v>
      </c>
      <c r="G161">
        <v>3</v>
      </c>
      <c r="H161">
        <v>828.65</v>
      </c>
      <c r="I161">
        <v>2485.9499999999998</v>
      </c>
      <c r="J161" t="s">
        <v>381</v>
      </c>
      <c r="K161" t="s">
        <v>384</v>
      </c>
      <c r="L161" t="s">
        <v>390</v>
      </c>
    </row>
    <row r="162" spans="1:12" x14ac:dyDescent="0.3">
      <c r="A162" t="s">
        <v>172</v>
      </c>
      <c r="B162" s="3">
        <v>46218</v>
      </c>
      <c r="C162" t="s">
        <v>426</v>
      </c>
      <c r="D162" t="s">
        <v>347</v>
      </c>
      <c r="E162" t="s">
        <v>364</v>
      </c>
      <c r="F162" t="s">
        <v>373</v>
      </c>
      <c r="G162">
        <v>5</v>
      </c>
      <c r="H162">
        <v>8274.85</v>
      </c>
      <c r="I162">
        <v>41374.25</v>
      </c>
      <c r="J162" t="s">
        <v>376</v>
      </c>
      <c r="K162" t="s">
        <v>385</v>
      </c>
      <c r="L162" t="s">
        <v>391</v>
      </c>
    </row>
    <row r="163" spans="1:12" x14ac:dyDescent="0.3">
      <c r="A163" t="s">
        <v>173</v>
      </c>
      <c r="B163" s="3">
        <v>46187</v>
      </c>
      <c r="C163" t="s">
        <v>412</v>
      </c>
      <c r="D163" t="s">
        <v>333</v>
      </c>
      <c r="E163" t="s">
        <v>358</v>
      </c>
      <c r="F163" t="s">
        <v>372</v>
      </c>
      <c r="G163">
        <v>5</v>
      </c>
      <c r="H163">
        <v>3272.69</v>
      </c>
      <c r="I163">
        <v>16363.45</v>
      </c>
      <c r="J163" t="s">
        <v>377</v>
      </c>
      <c r="K163" t="s">
        <v>383</v>
      </c>
      <c r="L163" t="s">
        <v>390</v>
      </c>
    </row>
    <row r="164" spans="1:12" x14ac:dyDescent="0.3">
      <c r="A164" t="s">
        <v>174</v>
      </c>
      <c r="B164" s="3">
        <v>46112</v>
      </c>
      <c r="C164" t="s">
        <v>429</v>
      </c>
      <c r="D164" t="s">
        <v>350</v>
      </c>
      <c r="E164" t="s">
        <v>357</v>
      </c>
      <c r="F164" t="s">
        <v>371</v>
      </c>
      <c r="G164">
        <v>3</v>
      </c>
      <c r="H164">
        <v>975.88</v>
      </c>
      <c r="I164">
        <v>2927.64</v>
      </c>
      <c r="J164" t="s">
        <v>374</v>
      </c>
      <c r="K164" t="s">
        <v>386</v>
      </c>
      <c r="L164" t="s">
        <v>389</v>
      </c>
    </row>
    <row r="165" spans="1:12" x14ac:dyDescent="0.3">
      <c r="A165" t="s">
        <v>175</v>
      </c>
      <c r="B165" s="3">
        <v>46185</v>
      </c>
      <c r="C165" t="s">
        <v>425</v>
      </c>
      <c r="D165" t="s">
        <v>346</v>
      </c>
      <c r="E165" t="s">
        <v>366</v>
      </c>
      <c r="F165" t="s">
        <v>373</v>
      </c>
      <c r="G165">
        <v>1</v>
      </c>
      <c r="H165">
        <v>11140.5</v>
      </c>
      <c r="I165">
        <v>11140.5</v>
      </c>
      <c r="J165" t="s">
        <v>376</v>
      </c>
      <c r="K165" t="s">
        <v>385</v>
      </c>
      <c r="L165" t="s">
        <v>390</v>
      </c>
    </row>
    <row r="166" spans="1:12" x14ac:dyDescent="0.3">
      <c r="A166" t="s">
        <v>176</v>
      </c>
      <c r="B166" s="3">
        <v>46102</v>
      </c>
      <c r="C166" t="s">
        <v>426</v>
      </c>
      <c r="D166" t="s">
        <v>347</v>
      </c>
      <c r="E166" t="s">
        <v>368</v>
      </c>
      <c r="F166" t="s">
        <v>373</v>
      </c>
      <c r="G166">
        <v>3</v>
      </c>
      <c r="H166">
        <v>6054.63</v>
      </c>
      <c r="I166">
        <v>18163.89</v>
      </c>
      <c r="J166" t="s">
        <v>375</v>
      </c>
      <c r="K166" t="s">
        <v>383</v>
      </c>
      <c r="L166" t="s">
        <v>390</v>
      </c>
    </row>
    <row r="167" spans="1:12" x14ac:dyDescent="0.3">
      <c r="A167" t="s">
        <v>177</v>
      </c>
      <c r="B167" s="3">
        <v>46043</v>
      </c>
      <c r="C167" t="s">
        <v>431</v>
      </c>
      <c r="D167" t="s">
        <v>352</v>
      </c>
      <c r="E167" t="s">
        <v>361</v>
      </c>
      <c r="F167" t="s">
        <v>371</v>
      </c>
      <c r="G167">
        <v>5</v>
      </c>
      <c r="H167">
        <v>2274.88</v>
      </c>
      <c r="I167">
        <v>11374.400000000001</v>
      </c>
      <c r="J167" t="s">
        <v>379</v>
      </c>
      <c r="K167" t="s">
        <v>385</v>
      </c>
      <c r="L167" t="s">
        <v>391</v>
      </c>
    </row>
    <row r="168" spans="1:12" x14ac:dyDescent="0.3">
      <c r="A168" t="s">
        <v>178</v>
      </c>
      <c r="B168" s="3">
        <v>46216</v>
      </c>
      <c r="C168" t="s">
        <v>423</v>
      </c>
      <c r="D168" t="s">
        <v>344</v>
      </c>
      <c r="E168" t="s">
        <v>368</v>
      </c>
      <c r="F168" t="s">
        <v>373</v>
      </c>
      <c r="G168">
        <v>4</v>
      </c>
      <c r="H168">
        <v>6205.12</v>
      </c>
      <c r="I168">
        <v>24820.48</v>
      </c>
      <c r="J168" t="s">
        <v>378</v>
      </c>
      <c r="K168" t="s">
        <v>385</v>
      </c>
      <c r="L168" t="s">
        <v>390</v>
      </c>
    </row>
    <row r="169" spans="1:12" x14ac:dyDescent="0.3">
      <c r="A169" t="s">
        <v>179</v>
      </c>
      <c r="B169" s="3">
        <v>46193</v>
      </c>
      <c r="C169" t="s">
        <v>427</v>
      </c>
      <c r="D169" t="s">
        <v>348</v>
      </c>
      <c r="E169" t="s">
        <v>357</v>
      </c>
      <c r="F169" t="s">
        <v>371</v>
      </c>
      <c r="G169">
        <v>5</v>
      </c>
      <c r="H169">
        <v>897.59</v>
      </c>
      <c r="I169">
        <v>4487.95</v>
      </c>
      <c r="J169" t="s">
        <v>376</v>
      </c>
      <c r="K169" t="s">
        <v>385</v>
      </c>
      <c r="L169" t="s">
        <v>391</v>
      </c>
    </row>
    <row r="170" spans="1:12" x14ac:dyDescent="0.3">
      <c r="A170" t="s">
        <v>180</v>
      </c>
      <c r="B170" s="3">
        <v>46265</v>
      </c>
      <c r="C170" t="s">
        <v>430</v>
      </c>
      <c r="D170" t="s">
        <v>351</v>
      </c>
      <c r="E170" t="s">
        <v>367</v>
      </c>
      <c r="F170" t="s">
        <v>371</v>
      </c>
      <c r="G170">
        <v>1</v>
      </c>
      <c r="H170">
        <v>42339.81</v>
      </c>
      <c r="I170">
        <v>42339.81</v>
      </c>
      <c r="J170" t="s">
        <v>377</v>
      </c>
      <c r="K170" t="s">
        <v>387</v>
      </c>
      <c r="L170" t="s">
        <v>390</v>
      </c>
    </row>
    <row r="171" spans="1:12" x14ac:dyDescent="0.3">
      <c r="A171" t="s">
        <v>181</v>
      </c>
      <c r="B171" s="3">
        <v>46133</v>
      </c>
      <c r="C171" t="s">
        <v>430</v>
      </c>
      <c r="D171" t="s">
        <v>351</v>
      </c>
      <c r="E171" t="s">
        <v>365</v>
      </c>
      <c r="F171" t="s">
        <v>371</v>
      </c>
      <c r="G171">
        <v>1</v>
      </c>
      <c r="H171">
        <v>27985.360000000001</v>
      </c>
      <c r="I171">
        <v>27985.360000000001</v>
      </c>
      <c r="J171" t="s">
        <v>379</v>
      </c>
      <c r="K171" t="s">
        <v>386</v>
      </c>
      <c r="L171" t="s">
        <v>389</v>
      </c>
    </row>
    <row r="172" spans="1:12" x14ac:dyDescent="0.3">
      <c r="A172" t="s">
        <v>182</v>
      </c>
      <c r="B172" s="3">
        <v>46194</v>
      </c>
      <c r="C172" t="s">
        <v>425</v>
      </c>
      <c r="D172" t="s">
        <v>346</v>
      </c>
      <c r="E172" t="s">
        <v>360</v>
      </c>
      <c r="F172" t="s">
        <v>371</v>
      </c>
      <c r="G172">
        <v>5</v>
      </c>
      <c r="H172">
        <v>1821.14</v>
      </c>
      <c r="I172">
        <v>9105.7000000000007</v>
      </c>
      <c r="J172" t="s">
        <v>379</v>
      </c>
      <c r="K172" t="s">
        <v>383</v>
      </c>
      <c r="L172" t="s">
        <v>390</v>
      </c>
    </row>
    <row r="173" spans="1:12" x14ac:dyDescent="0.3">
      <c r="A173" t="s">
        <v>183</v>
      </c>
      <c r="B173" s="3">
        <v>46243</v>
      </c>
      <c r="C173" t="s">
        <v>426</v>
      </c>
      <c r="D173" t="s">
        <v>347</v>
      </c>
      <c r="E173" t="s">
        <v>367</v>
      </c>
      <c r="F173" t="s">
        <v>371</v>
      </c>
      <c r="G173">
        <v>4</v>
      </c>
      <c r="H173">
        <v>48790.46</v>
      </c>
      <c r="I173">
        <v>195161.84</v>
      </c>
      <c r="J173" t="s">
        <v>379</v>
      </c>
      <c r="K173" t="s">
        <v>386</v>
      </c>
      <c r="L173" t="s">
        <v>390</v>
      </c>
    </row>
    <row r="174" spans="1:12" x14ac:dyDescent="0.3">
      <c r="A174" t="s">
        <v>184</v>
      </c>
      <c r="B174" s="3">
        <v>46126</v>
      </c>
      <c r="C174" t="s">
        <v>414</v>
      </c>
      <c r="D174" t="s">
        <v>335</v>
      </c>
      <c r="E174" t="s">
        <v>355</v>
      </c>
      <c r="F174" t="s">
        <v>369</v>
      </c>
      <c r="G174">
        <v>4</v>
      </c>
      <c r="H174">
        <v>670.53</v>
      </c>
      <c r="I174">
        <v>2682.12</v>
      </c>
      <c r="J174" t="s">
        <v>374</v>
      </c>
      <c r="K174" t="s">
        <v>386</v>
      </c>
      <c r="L174" t="s">
        <v>390</v>
      </c>
    </row>
    <row r="175" spans="1:12" x14ac:dyDescent="0.3">
      <c r="A175" t="s">
        <v>185</v>
      </c>
      <c r="B175" s="3">
        <v>46239</v>
      </c>
      <c r="C175" t="s">
        <v>411</v>
      </c>
      <c r="D175" t="s">
        <v>332</v>
      </c>
      <c r="E175" t="s">
        <v>359</v>
      </c>
      <c r="F175" t="s">
        <v>372</v>
      </c>
      <c r="G175">
        <v>3</v>
      </c>
      <c r="H175">
        <v>825.86</v>
      </c>
      <c r="I175">
        <v>2477.58</v>
      </c>
      <c r="J175" t="s">
        <v>379</v>
      </c>
      <c r="K175" t="s">
        <v>386</v>
      </c>
      <c r="L175" t="s">
        <v>390</v>
      </c>
    </row>
    <row r="176" spans="1:12" x14ac:dyDescent="0.3">
      <c r="A176" t="s">
        <v>186</v>
      </c>
      <c r="B176" s="3">
        <v>46102</v>
      </c>
      <c r="C176" t="s">
        <v>411</v>
      </c>
      <c r="D176" t="s">
        <v>332</v>
      </c>
      <c r="E176" t="s">
        <v>356</v>
      </c>
      <c r="F176" t="s">
        <v>370</v>
      </c>
      <c r="G176">
        <v>1</v>
      </c>
      <c r="H176">
        <v>117.5</v>
      </c>
      <c r="I176">
        <v>117.5</v>
      </c>
      <c r="J176" t="s">
        <v>378</v>
      </c>
      <c r="K176" t="s">
        <v>384</v>
      </c>
      <c r="L176" t="s">
        <v>390</v>
      </c>
    </row>
    <row r="177" spans="1:12" x14ac:dyDescent="0.3">
      <c r="A177" t="s">
        <v>187</v>
      </c>
      <c r="B177" s="3">
        <v>46072</v>
      </c>
      <c r="C177" t="s">
        <v>415</v>
      </c>
      <c r="D177" t="s">
        <v>336</v>
      </c>
      <c r="E177" t="s">
        <v>356</v>
      </c>
      <c r="F177" t="s">
        <v>370</v>
      </c>
      <c r="G177">
        <v>1</v>
      </c>
      <c r="H177">
        <v>120.73</v>
      </c>
      <c r="I177">
        <v>120.73</v>
      </c>
      <c r="J177" t="s">
        <v>374</v>
      </c>
      <c r="K177" t="s">
        <v>384</v>
      </c>
      <c r="L177" t="s">
        <v>390</v>
      </c>
    </row>
    <row r="178" spans="1:12" x14ac:dyDescent="0.3">
      <c r="A178" t="s">
        <v>188</v>
      </c>
      <c r="B178" s="3">
        <v>46177</v>
      </c>
      <c r="C178" t="s">
        <v>425</v>
      </c>
      <c r="D178" t="s">
        <v>346</v>
      </c>
      <c r="E178" t="s">
        <v>361</v>
      </c>
      <c r="F178" t="s">
        <v>371</v>
      </c>
      <c r="G178">
        <v>3</v>
      </c>
      <c r="H178">
        <v>2348.64</v>
      </c>
      <c r="I178">
        <v>7045.92</v>
      </c>
      <c r="J178" t="s">
        <v>374</v>
      </c>
      <c r="K178" t="s">
        <v>385</v>
      </c>
      <c r="L178" t="s">
        <v>390</v>
      </c>
    </row>
    <row r="179" spans="1:12" x14ac:dyDescent="0.3">
      <c r="A179" t="s">
        <v>189</v>
      </c>
      <c r="B179" s="3">
        <v>46137</v>
      </c>
      <c r="C179" t="s">
        <v>422</v>
      </c>
      <c r="D179" t="s">
        <v>343</v>
      </c>
      <c r="E179" t="s">
        <v>358</v>
      </c>
      <c r="F179" t="s">
        <v>372</v>
      </c>
      <c r="G179">
        <v>5</v>
      </c>
      <c r="H179">
        <v>3366.32</v>
      </c>
      <c r="I179">
        <v>16831.600000000002</v>
      </c>
      <c r="J179" t="s">
        <v>378</v>
      </c>
      <c r="K179" t="s">
        <v>387</v>
      </c>
      <c r="L179" t="s">
        <v>390</v>
      </c>
    </row>
    <row r="180" spans="1:12" x14ac:dyDescent="0.3">
      <c r="A180" t="s">
        <v>190</v>
      </c>
      <c r="B180" s="3">
        <v>46184</v>
      </c>
      <c r="C180" t="s">
        <v>419</v>
      </c>
      <c r="D180" t="s">
        <v>340</v>
      </c>
      <c r="E180" t="s">
        <v>368</v>
      </c>
      <c r="F180" t="s">
        <v>373</v>
      </c>
      <c r="G180">
        <v>1</v>
      </c>
      <c r="H180">
        <v>6459.6</v>
      </c>
      <c r="I180">
        <v>6459.6</v>
      </c>
      <c r="J180" t="s">
        <v>380</v>
      </c>
      <c r="K180" t="s">
        <v>387</v>
      </c>
      <c r="L180" t="s">
        <v>391</v>
      </c>
    </row>
    <row r="181" spans="1:12" x14ac:dyDescent="0.3">
      <c r="A181" t="s">
        <v>191</v>
      </c>
      <c r="B181" s="3">
        <v>46032</v>
      </c>
      <c r="C181" t="s">
        <v>415</v>
      </c>
      <c r="D181" t="s">
        <v>336</v>
      </c>
      <c r="E181" t="s">
        <v>365</v>
      </c>
      <c r="F181" t="s">
        <v>371</v>
      </c>
      <c r="G181">
        <v>3</v>
      </c>
      <c r="H181">
        <v>27785.759999999998</v>
      </c>
      <c r="I181">
        <v>83357.279999999999</v>
      </c>
      <c r="J181" t="s">
        <v>377</v>
      </c>
      <c r="K181" t="s">
        <v>383</v>
      </c>
      <c r="L181" t="s">
        <v>389</v>
      </c>
    </row>
    <row r="182" spans="1:12" x14ac:dyDescent="0.3">
      <c r="A182" t="s">
        <v>192</v>
      </c>
      <c r="B182" s="3">
        <v>46152</v>
      </c>
      <c r="C182" t="s">
        <v>431</v>
      </c>
      <c r="D182" t="s">
        <v>352</v>
      </c>
      <c r="E182" t="s">
        <v>359</v>
      </c>
      <c r="F182" t="s">
        <v>372</v>
      </c>
      <c r="G182">
        <v>1</v>
      </c>
      <c r="H182">
        <v>920.7</v>
      </c>
      <c r="I182">
        <v>920.7</v>
      </c>
      <c r="J182" t="s">
        <v>380</v>
      </c>
      <c r="K182" t="s">
        <v>385</v>
      </c>
      <c r="L182" t="s">
        <v>391</v>
      </c>
    </row>
    <row r="183" spans="1:12" x14ac:dyDescent="0.3">
      <c r="A183" t="s">
        <v>193</v>
      </c>
      <c r="B183" s="3">
        <v>46144</v>
      </c>
      <c r="C183" t="s">
        <v>430</v>
      </c>
      <c r="D183" t="s">
        <v>351</v>
      </c>
      <c r="E183" t="s">
        <v>354</v>
      </c>
      <c r="F183" t="s">
        <v>369</v>
      </c>
      <c r="G183">
        <v>2</v>
      </c>
      <c r="H183">
        <v>1735.75</v>
      </c>
      <c r="I183">
        <v>3471.5</v>
      </c>
      <c r="J183" t="s">
        <v>380</v>
      </c>
      <c r="K183" t="s">
        <v>385</v>
      </c>
      <c r="L183" t="s">
        <v>390</v>
      </c>
    </row>
    <row r="184" spans="1:12" x14ac:dyDescent="0.3">
      <c r="A184" t="s">
        <v>194</v>
      </c>
      <c r="B184" s="3">
        <v>46044</v>
      </c>
      <c r="C184" t="s">
        <v>429</v>
      </c>
      <c r="D184" t="s">
        <v>350</v>
      </c>
      <c r="E184" t="s">
        <v>358</v>
      </c>
      <c r="F184" t="s">
        <v>372</v>
      </c>
      <c r="G184">
        <v>3</v>
      </c>
      <c r="H184">
        <v>3508.73</v>
      </c>
      <c r="I184">
        <v>10526.19</v>
      </c>
      <c r="J184" t="s">
        <v>380</v>
      </c>
      <c r="K184" t="s">
        <v>384</v>
      </c>
      <c r="L184" t="s">
        <v>389</v>
      </c>
    </row>
    <row r="185" spans="1:12" x14ac:dyDescent="0.3">
      <c r="A185" t="s">
        <v>195</v>
      </c>
      <c r="B185" s="3">
        <v>46179</v>
      </c>
      <c r="C185" t="s">
        <v>415</v>
      </c>
      <c r="D185" t="s">
        <v>336</v>
      </c>
      <c r="E185" t="s">
        <v>368</v>
      </c>
      <c r="F185" t="s">
        <v>373</v>
      </c>
      <c r="G185">
        <v>4</v>
      </c>
      <c r="H185">
        <v>6531.29</v>
      </c>
      <c r="I185">
        <v>26125.16</v>
      </c>
      <c r="J185" t="s">
        <v>378</v>
      </c>
      <c r="K185" t="s">
        <v>387</v>
      </c>
      <c r="L185" t="s">
        <v>390</v>
      </c>
    </row>
    <row r="186" spans="1:12" x14ac:dyDescent="0.3">
      <c r="A186" t="s">
        <v>196</v>
      </c>
      <c r="B186" s="3">
        <v>46036</v>
      </c>
      <c r="C186" t="s">
        <v>425</v>
      </c>
      <c r="D186" t="s">
        <v>346</v>
      </c>
      <c r="E186" t="s">
        <v>366</v>
      </c>
      <c r="F186" t="s">
        <v>373</v>
      </c>
      <c r="G186">
        <v>3</v>
      </c>
      <c r="H186">
        <v>12429.35</v>
      </c>
      <c r="I186">
        <v>37288.050000000003</v>
      </c>
      <c r="J186" t="s">
        <v>378</v>
      </c>
      <c r="K186" t="s">
        <v>383</v>
      </c>
      <c r="L186" t="s">
        <v>391</v>
      </c>
    </row>
    <row r="187" spans="1:12" x14ac:dyDescent="0.3">
      <c r="A187" t="s">
        <v>197</v>
      </c>
      <c r="B187" s="3">
        <v>46208</v>
      </c>
      <c r="C187" t="s">
        <v>430</v>
      </c>
      <c r="D187" t="s">
        <v>351</v>
      </c>
      <c r="E187" t="s">
        <v>354</v>
      </c>
      <c r="F187" t="s">
        <v>369</v>
      </c>
      <c r="G187">
        <v>4</v>
      </c>
      <c r="H187">
        <v>1722.29</v>
      </c>
      <c r="I187">
        <v>6889.16</v>
      </c>
      <c r="J187" t="s">
        <v>378</v>
      </c>
      <c r="K187" t="s">
        <v>383</v>
      </c>
      <c r="L187" t="s">
        <v>391</v>
      </c>
    </row>
    <row r="188" spans="1:12" x14ac:dyDescent="0.3">
      <c r="A188" t="s">
        <v>198</v>
      </c>
      <c r="B188" s="3">
        <v>46102</v>
      </c>
      <c r="C188" t="s">
        <v>430</v>
      </c>
      <c r="D188" t="s">
        <v>351</v>
      </c>
      <c r="E188" t="s">
        <v>354</v>
      </c>
      <c r="F188" t="s">
        <v>369</v>
      </c>
      <c r="G188">
        <v>2</v>
      </c>
      <c r="H188">
        <v>1950.03</v>
      </c>
      <c r="I188">
        <v>3900.06</v>
      </c>
      <c r="J188" t="s">
        <v>375</v>
      </c>
      <c r="K188" t="s">
        <v>387</v>
      </c>
      <c r="L188" t="s">
        <v>391</v>
      </c>
    </row>
    <row r="189" spans="1:12" x14ac:dyDescent="0.3">
      <c r="A189" t="s">
        <v>199</v>
      </c>
      <c r="B189" s="3">
        <v>46194</v>
      </c>
      <c r="C189" t="s">
        <v>425</v>
      </c>
      <c r="D189" t="s">
        <v>346</v>
      </c>
      <c r="E189" t="s">
        <v>366</v>
      </c>
      <c r="F189" t="s">
        <v>373</v>
      </c>
      <c r="G189">
        <v>3</v>
      </c>
      <c r="H189">
        <v>12751.64</v>
      </c>
      <c r="I189">
        <v>38254.92</v>
      </c>
      <c r="J189" t="s">
        <v>379</v>
      </c>
      <c r="K189" t="s">
        <v>386</v>
      </c>
      <c r="L189" t="s">
        <v>390</v>
      </c>
    </row>
    <row r="190" spans="1:12" x14ac:dyDescent="0.3">
      <c r="A190" t="s">
        <v>200</v>
      </c>
      <c r="B190" s="3">
        <v>46266</v>
      </c>
      <c r="C190" t="s">
        <v>414</v>
      </c>
      <c r="D190" t="s">
        <v>335</v>
      </c>
      <c r="E190" t="s">
        <v>367</v>
      </c>
      <c r="F190" t="s">
        <v>371</v>
      </c>
      <c r="G190">
        <v>3</v>
      </c>
      <c r="H190">
        <v>43279.79</v>
      </c>
      <c r="I190">
        <v>129839.37</v>
      </c>
      <c r="J190" t="s">
        <v>381</v>
      </c>
      <c r="K190" t="s">
        <v>384</v>
      </c>
      <c r="L190" t="s">
        <v>390</v>
      </c>
    </row>
    <row r="191" spans="1:12" x14ac:dyDescent="0.3">
      <c r="A191" t="s">
        <v>201</v>
      </c>
      <c r="B191" s="3">
        <v>46239</v>
      </c>
      <c r="C191" t="s">
        <v>421</v>
      </c>
      <c r="D191" t="s">
        <v>342</v>
      </c>
      <c r="E191" t="s">
        <v>361</v>
      </c>
      <c r="F191" t="s">
        <v>371</v>
      </c>
      <c r="G191">
        <v>2</v>
      </c>
      <c r="H191">
        <v>2288.58</v>
      </c>
      <c r="I191">
        <v>4577.16</v>
      </c>
      <c r="J191" t="s">
        <v>380</v>
      </c>
      <c r="K191" t="s">
        <v>387</v>
      </c>
      <c r="L191" t="s">
        <v>391</v>
      </c>
    </row>
    <row r="192" spans="1:12" x14ac:dyDescent="0.3">
      <c r="A192" t="s">
        <v>202</v>
      </c>
      <c r="B192" s="3">
        <v>46064</v>
      </c>
      <c r="C192" t="s">
        <v>422</v>
      </c>
      <c r="D192" t="s">
        <v>343</v>
      </c>
      <c r="E192" t="s">
        <v>361</v>
      </c>
      <c r="F192" t="s">
        <v>371</v>
      </c>
      <c r="G192">
        <v>5</v>
      </c>
      <c r="H192">
        <v>2438.36</v>
      </c>
      <c r="I192">
        <v>12191.800000000001</v>
      </c>
      <c r="J192" t="s">
        <v>374</v>
      </c>
      <c r="K192" t="s">
        <v>385</v>
      </c>
      <c r="L192" t="s">
        <v>390</v>
      </c>
    </row>
    <row r="193" spans="1:12" x14ac:dyDescent="0.3">
      <c r="A193" t="s">
        <v>203</v>
      </c>
      <c r="B193" s="3">
        <v>46083</v>
      </c>
      <c r="C193" t="s">
        <v>422</v>
      </c>
      <c r="D193" t="s">
        <v>343</v>
      </c>
      <c r="E193" t="s">
        <v>366</v>
      </c>
      <c r="F193" t="s">
        <v>373</v>
      </c>
      <c r="G193">
        <v>3</v>
      </c>
      <c r="H193">
        <v>12423.27</v>
      </c>
      <c r="I193">
        <v>37269.81</v>
      </c>
      <c r="J193" t="s">
        <v>377</v>
      </c>
      <c r="K193" t="s">
        <v>385</v>
      </c>
      <c r="L193" t="s">
        <v>390</v>
      </c>
    </row>
    <row r="194" spans="1:12" x14ac:dyDescent="0.3">
      <c r="A194" t="s">
        <v>204</v>
      </c>
      <c r="B194" s="3">
        <v>46230</v>
      </c>
      <c r="C194" t="s">
        <v>417</v>
      </c>
      <c r="D194" t="s">
        <v>338</v>
      </c>
      <c r="E194" t="s">
        <v>356</v>
      </c>
      <c r="F194" t="s">
        <v>370</v>
      </c>
      <c r="G194">
        <v>2</v>
      </c>
      <c r="H194">
        <v>115.43</v>
      </c>
      <c r="I194">
        <v>230.86</v>
      </c>
      <c r="J194" t="s">
        <v>378</v>
      </c>
      <c r="K194" t="s">
        <v>386</v>
      </c>
      <c r="L194" t="s">
        <v>390</v>
      </c>
    </row>
    <row r="195" spans="1:12" x14ac:dyDescent="0.3">
      <c r="A195" t="s">
        <v>205</v>
      </c>
      <c r="B195" s="3">
        <v>46151</v>
      </c>
      <c r="C195" t="s">
        <v>413</v>
      </c>
      <c r="D195" t="s">
        <v>334</v>
      </c>
      <c r="E195" t="s">
        <v>368</v>
      </c>
      <c r="F195" t="s">
        <v>373</v>
      </c>
      <c r="G195">
        <v>3</v>
      </c>
      <c r="H195">
        <v>6861.56</v>
      </c>
      <c r="I195">
        <v>20584.68</v>
      </c>
      <c r="J195" t="s">
        <v>374</v>
      </c>
      <c r="K195" t="s">
        <v>384</v>
      </c>
      <c r="L195" t="s">
        <v>391</v>
      </c>
    </row>
    <row r="196" spans="1:12" x14ac:dyDescent="0.3">
      <c r="A196" t="s">
        <v>206</v>
      </c>
      <c r="B196" s="3">
        <v>46146</v>
      </c>
      <c r="C196" t="s">
        <v>420</v>
      </c>
      <c r="D196" t="s">
        <v>341</v>
      </c>
      <c r="E196" t="s">
        <v>361</v>
      </c>
      <c r="F196" t="s">
        <v>371</v>
      </c>
      <c r="G196">
        <v>3</v>
      </c>
      <c r="H196">
        <v>2276.09</v>
      </c>
      <c r="I196">
        <v>6828.27</v>
      </c>
      <c r="J196" t="s">
        <v>375</v>
      </c>
      <c r="K196" t="s">
        <v>386</v>
      </c>
      <c r="L196" t="s">
        <v>390</v>
      </c>
    </row>
    <row r="197" spans="1:12" x14ac:dyDescent="0.3">
      <c r="A197" t="s">
        <v>207</v>
      </c>
      <c r="B197" s="3">
        <v>46092</v>
      </c>
      <c r="C197" t="s">
        <v>421</v>
      </c>
      <c r="D197" t="s">
        <v>342</v>
      </c>
      <c r="E197" t="s">
        <v>357</v>
      </c>
      <c r="F197" t="s">
        <v>371</v>
      </c>
      <c r="G197">
        <v>1</v>
      </c>
      <c r="H197">
        <v>947.36</v>
      </c>
      <c r="I197">
        <v>947.36</v>
      </c>
      <c r="J197" t="s">
        <v>374</v>
      </c>
      <c r="K197" t="s">
        <v>385</v>
      </c>
      <c r="L197" t="s">
        <v>390</v>
      </c>
    </row>
    <row r="198" spans="1:12" x14ac:dyDescent="0.3">
      <c r="A198" t="s">
        <v>208</v>
      </c>
      <c r="B198" s="3">
        <v>46249</v>
      </c>
      <c r="C198" t="s">
        <v>412</v>
      </c>
      <c r="D198" t="s">
        <v>333</v>
      </c>
      <c r="E198" t="s">
        <v>362</v>
      </c>
      <c r="F198" t="s">
        <v>372</v>
      </c>
      <c r="G198">
        <v>2</v>
      </c>
      <c r="H198">
        <v>2339.35</v>
      </c>
      <c r="I198">
        <v>4678.7</v>
      </c>
      <c r="J198" t="s">
        <v>379</v>
      </c>
      <c r="K198" t="s">
        <v>383</v>
      </c>
      <c r="L198" t="s">
        <v>390</v>
      </c>
    </row>
    <row r="199" spans="1:12" x14ac:dyDescent="0.3">
      <c r="A199" t="s">
        <v>209</v>
      </c>
      <c r="B199" s="3">
        <v>46043</v>
      </c>
      <c r="C199" t="s">
        <v>411</v>
      </c>
      <c r="D199" t="s">
        <v>332</v>
      </c>
      <c r="E199" t="s">
        <v>356</v>
      </c>
      <c r="F199" t="s">
        <v>370</v>
      </c>
      <c r="G199">
        <v>3</v>
      </c>
      <c r="H199">
        <v>113.66</v>
      </c>
      <c r="I199">
        <v>340.98</v>
      </c>
      <c r="J199" t="s">
        <v>380</v>
      </c>
      <c r="K199" t="s">
        <v>387</v>
      </c>
      <c r="L199" t="s">
        <v>390</v>
      </c>
    </row>
    <row r="200" spans="1:12" x14ac:dyDescent="0.3">
      <c r="A200" t="s">
        <v>210</v>
      </c>
      <c r="B200" s="3">
        <v>46058</v>
      </c>
      <c r="C200" t="s">
        <v>428</v>
      </c>
      <c r="D200" t="s">
        <v>349</v>
      </c>
      <c r="E200" t="s">
        <v>359</v>
      </c>
      <c r="F200" t="s">
        <v>372</v>
      </c>
      <c r="G200">
        <v>3</v>
      </c>
      <c r="H200">
        <v>952.45</v>
      </c>
      <c r="I200">
        <v>2857.3500000000004</v>
      </c>
      <c r="J200" t="s">
        <v>381</v>
      </c>
      <c r="K200" t="s">
        <v>384</v>
      </c>
      <c r="L200" t="s">
        <v>389</v>
      </c>
    </row>
    <row r="201" spans="1:12" x14ac:dyDescent="0.3">
      <c r="A201" t="s">
        <v>211</v>
      </c>
      <c r="B201" s="3">
        <v>46254</v>
      </c>
      <c r="C201" t="s">
        <v>412</v>
      </c>
      <c r="D201" t="s">
        <v>333</v>
      </c>
      <c r="E201" t="s">
        <v>368</v>
      </c>
      <c r="F201" t="s">
        <v>373</v>
      </c>
      <c r="G201">
        <v>4</v>
      </c>
      <c r="H201">
        <v>6649.95</v>
      </c>
      <c r="I201">
        <v>26599.8</v>
      </c>
      <c r="J201" t="s">
        <v>377</v>
      </c>
      <c r="K201" t="s">
        <v>384</v>
      </c>
      <c r="L201" t="s">
        <v>390</v>
      </c>
    </row>
    <row r="202" spans="1:12" x14ac:dyDescent="0.3">
      <c r="A202" t="s">
        <v>212</v>
      </c>
      <c r="B202" s="3">
        <v>46051</v>
      </c>
      <c r="C202" t="s">
        <v>411</v>
      </c>
      <c r="D202" t="s">
        <v>332</v>
      </c>
      <c r="E202" t="s">
        <v>356</v>
      </c>
      <c r="F202" t="s">
        <v>370</v>
      </c>
      <c r="G202">
        <v>5</v>
      </c>
      <c r="H202">
        <v>120.67</v>
      </c>
      <c r="I202">
        <v>603.35</v>
      </c>
      <c r="J202" t="s">
        <v>377</v>
      </c>
      <c r="K202" t="s">
        <v>383</v>
      </c>
      <c r="L202" t="s">
        <v>390</v>
      </c>
    </row>
    <row r="203" spans="1:12" x14ac:dyDescent="0.3">
      <c r="A203" t="s">
        <v>213</v>
      </c>
      <c r="B203" s="3">
        <v>46182</v>
      </c>
      <c r="C203" t="s">
        <v>425</v>
      </c>
      <c r="D203" t="s">
        <v>346</v>
      </c>
      <c r="E203" t="s">
        <v>360</v>
      </c>
      <c r="F203" t="s">
        <v>371</v>
      </c>
      <c r="G203">
        <v>4</v>
      </c>
      <c r="H203">
        <v>1850.02</v>
      </c>
      <c r="I203">
        <v>7400.08</v>
      </c>
      <c r="J203" t="s">
        <v>375</v>
      </c>
      <c r="K203" t="s">
        <v>385</v>
      </c>
      <c r="L203" t="s">
        <v>391</v>
      </c>
    </row>
    <row r="204" spans="1:12" x14ac:dyDescent="0.3">
      <c r="A204" t="s">
        <v>214</v>
      </c>
      <c r="B204" s="3">
        <v>46170</v>
      </c>
      <c r="C204" t="s">
        <v>430</v>
      </c>
      <c r="D204" t="s">
        <v>351</v>
      </c>
      <c r="E204" t="s">
        <v>356</v>
      </c>
      <c r="F204" t="s">
        <v>370</v>
      </c>
      <c r="G204">
        <v>1</v>
      </c>
      <c r="H204">
        <v>123.17</v>
      </c>
      <c r="I204">
        <v>123.17</v>
      </c>
      <c r="J204" t="s">
        <v>377</v>
      </c>
      <c r="K204" t="s">
        <v>385</v>
      </c>
      <c r="L204" t="s">
        <v>390</v>
      </c>
    </row>
    <row r="205" spans="1:12" x14ac:dyDescent="0.3">
      <c r="A205" t="s">
        <v>215</v>
      </c>
      <c r="B205" s="3">
        <v>46129</v>
      </c>
      <c r="C205" t="s">
        <v>425</v>
      </c>
      <c r="D205" t="s">
        <v>346</v>
      </c>
      <c r="E205" t="s">
        <v>363</v>
      </c>
      <c r="F205" t="s">
        <v>370</v>
      </c>
      <c r="G205">
        <v>3</v>
      </c>
      <c r="H205">
        <v>237.03</v>
      </c>
      <c r="I205">
        <v>711.09</v>
      </c>
      <c r="J205" t="s">
        <v>378</v>
      </c>
      <c r="K205" t="s">
        <v>383</v>
      </c>
      <c r="L205" t="s">
        <v>391</v>
      </c>
    </row>
    <row r="206" spans="1:12" x14ac:dyDescent="0.3">
      <c r="A206" t="s">
        <v>216</v>
      </c>
      <c r="B206" s="3">
        <v>46152</v>
      </c>
      <c r="C206" t="s">
        <v>412</v>
      </c>
      <c r="D206" t="s">
        <v>333</v>
      </c>
      <c r="E206" t="s">
        <v>356</v>
      </c>
      <c r="F206" t="s">
        <v>370</v>
      </c>
      <c r="G206">
        <v>5</v>
      </c>
      <c r="H206">
        <v>126.87</v>
      </c>
      <c r="I206">
        <v>634.35</v>
      </c>
      <c r="J206" t="s">
        <v>379</v>
      </c>
      <c r="K206" t="s">
        <v>385</v>
      </c>
      <c r="L206" t="s">
        <v>390</v>
      </c>
    </row>
    <row r="207" spans="1:12" x14ac:dyDescent="0.3">
      <c r="A207" t="s">
        <v>217</v>
      </c>
      <c r="B207" s="3">
        <v>46087</v>
      </c>
      <c r="C207" t="s">
        <v>415</v>
      </c>
      <c r="D207" t="s">
        <v>336</v>
      </c>
      <c r="E207" t="s">
        <v>354</v>
      </c>
      <c r="F207" t="s">
        <v>369</v>
      </c>
      <c r="G207">
        <v>4</v>
      </c>
      <c r="H207">
        <v>1973.17</v>
      </c>
      <c r="I207">
        <v>7892.68</v>
      </c>
      <c r="J207" t="s">
        <v>375</v>
      </c>
      <c r="K207" t="s">
        <v>387</v>
      </c>
      <c r="L207" t="s">
        <v>390</v>
      </c>
    </row>
    <row r="208" spans="1:12" x14ac:dyDescent="0.3">
      <c r="A208" t="s">
        <v>218</v>
      </c>
      <c r="B208" s="3">
        <v>46211</v>
      </c>
      <c r="C208" t="s">
        <v>430</v>
      </c>
      <c r="D208" t="s">
        <v>351</v>
      </c>
      <c r="E208" t="s">
        <v>355</v>
      </c>
      <c r="F208" t="s">
        <v>369</v>
      </c>
      <c r="G208">
        <v>1</v>
      </c>
      <c r="H208">
        <v>738.01</v>
      </c>
      <c r="I208">
        <v>738.01</v>
      </c>
      <c r="J208" t="s">
        <v>380</v>
      </c>
      <c r="K208" t="s">
        <v>387</v>
      </c>
      <c r="L208" t="s">
        <v>391</v>
      </c>
    </row>
    <row r="209" spans="1:12" x14ac:dyDescent="0.3">
      <c r="A209" t="s">
        <v>219</v>
      </c>
      <c r="B209" s="3">
        <v>46198</v>
      </c>
      <c r="C209" t="s">
        <v>424</v>
      </c>
      <c r="D209" t="s">
        <v>345</v>
      </c>
      <c r="E209" t="s">
        <v>364</v>
      </c>
      <c r="F209" t="s">
        <v>373</v>
      </c>
      <c r="G209">
        <v>2</v>
      </c>
      <c r="H209">
        <v>9061.65</v>
      </c>
      <c r="I209">
        <v>18123.3</v>
      </c>
      <c r="J209" t="s">
        <v>374</v>
      </c>
      <c r="K209" t="s">
        <v>384</v>
      </c>
      <c r="L209" t="s">
        <v>390</v>
      </c>
    </row>
    <row r="210" spans="1:12" x14ac:dyDescent="0.3">
      <c r="A210" t="s">
        <v>220</v>
      </c>
      <c r="B210" s="3">
        <v>46074</v>
      </c>
      <c r="C210" t="s">
        <v>417</v>
      </c>
      <c r="D210" t="s">
        <v>338</v>
      </c>
      <c r="E210" t="s">
        <v>355</v>
      </c>
      <c r="F210" t="s">
        <v>369</v>
      </c>
      <c r="G210">
        <v>4</v>
      </c>
      <c r="H210">
        <v>635.17999999999995</v>
      </c>
      <c r="I210">
        <v>2540.7199999999998</v>
      </c>
      <c r="J210" t="s">
        <v>380</v>
      </c>
      <c r="K210" t="s">
        <v>387</v>
      </c>
      <c r="L210" t="s">
        <v>390</v>
      </c>
    </row>
    <row r="211" spans="1:12" x14ac:dyDescent="0.3">
      <c r="A211" t="s">
        <v>221</v>
      </c>
      <c r="B211" s="3">
        <v>46162</v>
      </c>
      <c r="C211" t="s">
        <v>419</v>
      </c>
      <c r="D211" t="s">
        <v>340</v>
      </c>
      <c r="E211" t="s">
        <v>356</v>
      </c>
      <c r="F211" t="s">
        <v>370</v>
      </c>
      <c r="G211">
        <v>4</v>
      </c>
      <c r="H211">
        <v>131.74</v>
      </c>
      <c r="I211">
        <v>526.96</v>
      </c>
      <c r="J211" t="s">
        <v>380</v>
      </c>
      <c r="K211" t="s">
        <v>384</v>
      </c>
      <c r="L211" t="s">
        <v>390</v>
      </c>
    </row>
    <row r="212" spans="1:12" x14ac:dyDescent="0.3">
      <c r="A212" t="s">
        <v>222</v>
      </c>
      <c r="B212" s="3">
        <v>46107</v>
      </c>
      <c r="C212" t="s">
        <v>423</v>
      </c>
      <c r="D212" t="s">
        <v>344</v>
      </c>
      <c r="E212" t="s">
        <v>364</v>
      </c>
      <c r="F212" t="s">
        <v>373</v>
      </c>
      <c r="G212">
        <v>1</v>
      </c>
      <c r="H212">
        <v>9121.86</v>
      </c>
      <c r="I212">
        <v>9121.86</v>
      </c>
      <c r="J212" t="s">
        <v>378</v>
      </c>
      <c r="K212" t="s">
        <v>385</v>
      </c>
      <c r="L212" t="s">
        <v>390</v>
      </c>
    </row>
    <row r="213" spans="1:12" x14ac:dyDescent="0.3">
      <c r="A213" t="s">
        <v>223</v>
      </c>
      <c r="B213" s="3">
        <v>46121</v>
      </c>
      <c r="C213" t="s">
        <v>429</v>
      </c>
      <c r="D213" t="s">
        <v>350</v>
      </c>
      <c r="E213" t="s">
        <v>355</v>
      </c>
      <c r="F213" t="s">
        <v>369</v>
      </c>
      <c r="G213">
        <v>4</v>
      </c>
      <c r="H213">
        <v>755.25</v>
      </c>
      <c r="I213">
        <v>3021</v>
      </c>
      <c r="J213" t="s">
        <v>381</v>
      </c>
      <c r="K213" t="s">
        <v>385</v>
      </c>
      <c r="L213" t="s">
        <v>390</v>
      </c>
    </row>
    <row r="214" spans="1:12" x14ac:dyDescent="0.3">
      <c r="A214" t="s">
        <v>224</v>
      </c>
      <c r="B214" s="3">
        <v>46044</v>
      </c>
      <c r="C214" t="s">
        <v>425</v>
      </c>
      <c r="D214" t="s">
        <v>346</v>
      </c>
      <c r="E214" t="s">
        <v>362</v>
      </c>
      <c r="F214" t="s">
        <v>372</v>
      </c>
      <c r="G214">
        <v>5</v>
      </c>
      <c r="H214">
        <v>2097.36</v>
      </c>
      <c r="I214">
        <v>10486.800000000001</v>
      </c>
      <c r="J214" t="s">
        <v>379</v>
      </c>
      <c r="K214" t="s">
        <v>386</v>
      </c>
      <c r="L214" t="s">
        <v>390</v>
      </c>
    </row>
    <row r="215" spans="1:12" x14ac:dyDescent="0.3">
      <c r="A215" t="s">
        <v>225</v>
      </c>
      <c r="B215" s="3">
        <v>46043</v>
      </c>
      <c r="C215" t="s">
        <v>428</v>
      </c>
      <c r="D215" t="s">
        <v>349</v>
      </c>
      <c r="E215" t="s">
        <v>356</v>
      </c>
      <c r="F215" t="s">
        <v>370</v>
      </c>
      <c r="G215">
        <v>3</v>
      </c>
      <c r="H215">
        <v>115.71</v>
      </c>
      <c r="I215">
        <v>347.13</v>
      </c>
      <c r="J215" t="s">
        <v>377</v>
      </c>
      <c r="K215" t="s">
        <v>385</v>
      </c>
      <c r="L215" t="s">
        <v>391</v>
      </c>
    </row>
    <row r="216" spans="1:12" x14ac:dyDescent="0.3">
      <c r="A216" t="s">
        <v>226</v>
      </c>
      <c r="B216" s="3">
        <v>46136</v>
      </c>
      <c r="C216" t="s">
        <v>431</v>
      </c>
      <c r="D216" t="s">
        <v>352</v>
      </c>
      <c r="E216" t="s">
        <v>355</v>
      </c>
      <c r="F216" t="s">
        <v>369</v>
      </c>
      <c r="G216">
        <v>4</v>
      </c>
      <c r="H216">
        <v>653.33000000000004</v>
      </c>
      <c r="I216">
        <v>2613.3200000000002</v>
      </c>
      <c r="J216" t="s">
        <v>380</v>
      </c>
      <c r="K216" t="s">
        <v>387</v>
      </c>
      <c r="L216" t="s">
        <v>391</v>
      </c>
    </row>
    <row r="217" spans="1:12" x14ac:dyDescent="0.3">
      <c r="A217" t="s">
        <v>227</v>
      </c>
      <c r="B217" s="3">
        <v>46225</v>
      </c>
      <c r="C217" t="s">
        <v>425</v>
      </c>
      <c r="D217" t="s">
        <v>346</v>
      </c>
      <c r="E217" t="s">
        <v>366</v>
      </c>
      <c r="F217" t="s">
        <v>373</v>
      </c>
      <c r="G217">
        <v>3</v>
      </c>
      <c r="H217">
        <v>12334.73</v>
      </c>
      <c r="I217">
        <v>37004.19</v>
      </c>
      <c r="J217" t="s">
        <v>379</v>
      </c>
      <c r="K217" t="s">
        <v>387</v>
      </c>
      <c r="L217" t="s">
        <v>391</v>
      </c>
    </row>
    <row r="218" spans="1:12" x14ac:dyDescent="0.3">
      <c r="A218" t="s">
        <v>228</v>
      </c>
      <c r="B218" s="3">
        <v>46059</v>
      </c>
      <c r="C218" t="s">
        <v>431</v>
      </c>
      <c r="D218" t="s">
        <v>352</v>
      </c>
      <c r="E218" t="s">
        <v>358</v>
      </c>
      <c r="F218" t="s">
        <v>372</v>
      </c>
      <c r="G218">
        <v>2</v>
      </c>
      <c r="H218">
        <v>3489.79</v>
      </c>
      <c r="I218">
        <v>6979.58</v>
      </c>
      <c r="J218" t="s">
        <v>380</v>
      </c>
      <c r="K218" t="s">
        <v>384</v>
      </c>
      <c r="L218" t="s">
        <v>390</v>
      </c>
    </row>
    <row r="219" spans="1:12" x14ac:dyDescent="0.3">
      <c r="A219" t="s">
        <v>229</v>
      </c>
      <c r="B219" s="3">
        <v>46266</v>
      </c>
      <c r="C219" t="s">
        <v>427</v>
      </c>
      <c r="D219" t="s">
        <v>348</v>
      </c>
      <c r="E219" t="s">
        <v>360</v>
      </c>
      <c r="F219" t="s">
        <v>371</v>
      </c>
      <c r="G219">
        <v>3</v>
      </c>
      <c r="H219">
        <v>1750.37</v>
      </c>
      <c r="I219">
        <v>5251.11</v>
      </c>
      <c r="J219" t="s">
        <v>374</v>
      </c>
      <c r="K219" t="s">
        <v>385</v>
      </c>
      <c r="L219" t="s">
        <v>390</v>
      </c>
    </row>
    <row r="220" spans="1:12" x14ac:dyDescent="0.3">
      <c r="A220" t="s">
        <v>230</v>
      </c>
      <c r="B220" s="3">
        <v>46169</v>
      </c>
      <c r="C220" t="s">
        <v>421</v>
      </c>
      <c r="D220" t="s">
        <v>342</v>
      </c>
      <c r="E220" t="s">
        <v>364</v>
      </c>
      <c r="F220" t="s">
        <v>373</v>
      </c>
      <c r="G220">
        <v>4</v>
      </c>
      <c r="H220">
        <v>8947.24</v>
      </c>
      <c r="I220">
        <v>35788.959999999999</v>
      </c>
      <c r="J220" t="s">
        <v>378</v>
      </c>
      <c r="K220" t="s">
        <v>385</v>
      </c>
      <c r="L220" t="s">
        <v>390</v>
      </c>
    </row>
    <row r="221" spans="1:12" x14ac:dyDescent="0.3">
      <c r="A221" t="s">
        <v>231</v>
      </c>
      <c r="B221" s="3">
        <v>46052</v>
      </c>
      <c r="C221" t="s">
        <v>429</v>
      </c>
      <c r="D221" t="s">
        <v>350</v>
      </c>
      <c r="E221" t="s">
        <v>354</v>
      </c>
      <c r="F221" t="s">
        <v>369</v>
      </c>
      <c r="G221">
        <v>3</v>
      </c>
      <c r="H221">
        <v>1709.86</v>
      </c>
      <c r="I221">
        <v>5129.58</v>
      </c>
      <c r="J221" t="s">
        <v>381</v>
      </c>
      <c r="K221" t="s">
        <v>386</v>
      </c>
      <c r="L221" t="s">
        <v>390</v>
      </c>
    </row>
    <row r="222" spans="1:12" x14ac:dyDescent="0.3">
      <c r="A222" t="s">
        <v>232</v>
      </c>
      <c r="B222" s="3">
        <v>46221</v>
      </c>
      <c r="C222" t="s">
        <v>431</v>
      </c>
      <c r="D222" t="s">
        <v>352</v>
      </c>
      <c r="E222" t="s">
        <v>362</v>
      </c>
      <c r="F222" t="s">
        <v>372</v>
      </c>
      <c r="G222">
        <v>5</v>
      </c>
      <c r="H222">
        <v>2031.81</v>
      </c>
      <c r="I222">
        <v>10159.049999999999</v>
      </c>
      <c r="J222" t="s">
        <v>376</v>
      </c>
      <c r="K222" t="s">
        <v>386</v>
      </c>
      <c r="L222" t="s">
        <v>390</v>
      </c>
    </row>
    <row r="223" spans="1:12" x14ac:dyDescent="0.3">
      <c r="A223" t="s">
        <v>233</v>
      </c>
      <c r="B223" s="3">
        <v>46057</v>
      </c>
      <c r="C223" t="s">
        <v>431</v>
      </c>
      <c r="D223" t="s">
        <v>352</v>
      </c>
      <c r="E223" t="s">
        <v>355</v>
      </c>
      <c r="F223" t="s">
        <v>369</v>
      </c>
      <c r="G223">
        <v>4</v>
      </c>
      <c r="H223">
        <v>658.02</v>
      </c>
      <c r="I223">
        <v>2632.08</v>
      </c>
      <c r="J223" t="s">
        <v>374</v>
      </c>
      <c r="K223" t="s">
        <v>385</v>
      </c>
      <c r="L223" t="s">
        <v>390</v>
      </c>
    </row>
    <row r="224" spans="1:12" x14ac:dyDescent="0.3">
      <c r="A224" t="s">
        <v>234</v>
      </c>
      <c r="B224" s="3">
        <v>46204</v>
      </c>
      <c r="C224" t="s">
        <v>420</v>
      </c>
      <c r="D224" t="s">
        <v>341</v>
      </c>
      <c r="E224" t="s">
        <v>358</v>
      </c>
      <c r="F224" t="s">
        <v>372</v>
      </c>
      <c r="G224">
        <v>3</v>
      </c>
      <c r="H224">
        <v>3307.42</v>
      </c>
      <c r="I224">
        <v>9922.26</v>
      </c>
      <c r="J224" t="s">
        <v>377</v>
      </c>
      <c r="K224" t="s">
        <v>387</v>
      </c>
      <c r="L224" t="s">
        <v>390</v>
      </c>
    </row>
    <row r="225" spans="1:12" x14ac:dyDescent="0.3">
      <c r="A225" t="s">
        <v>235</v>
      </c>
      <c r="B225" s="3">
        <v>46153</v>
      </c>
      <c r="C225" t="s">
        <v>423</v>
      </c>
      <c r="D225" t="s">
        <v>344</v>
      </c>
      <c r="E225" t="s">
        <v>355</v>
      </c>
      <c r="F225" t="s">
        <v>369</v>
      </c>
      <c r="G225">
        <v>2</v>
      </c>
      <c r="H225">
        <v>741.12</v>
      </c>
      <c r="I225">
        <v>1482.24</v>
      </c>
      <c r="J225" t="s">
        <v>376</v>
      </c>
      <c r="K225" t="s">
        <v>384</v>
      </c>
      <c r="L225" t="s">
        <v>390</v>
      </c>
    </row>
    <row r="226" spans="1:12" x14ac:dyDescent="0.3">
      <c r="A226" t="s">
        <v>236</v>
      </c>
      <c r="B226" s="3">
        <v>46164</v>
      </c>
      <c r="C226" t="s">
        <v>415</v>
      </c>
      <c r="D226" t="s">
        <v>336</v>
      </c>
      <c r="E226" t="s">
        <v>358</v>
      </c>
      <c r="F226" t="s">
        <v>372</v>
      </c>
      <c r="G226">
        <v>4</v>
      </c>
      <c r="H226">
        <v>2896.82</v>
      </c>
      <c r="I226">
        <v>11587.28</v>
      </c>
      <c r="J226" t="s">
        <v>381</v>
      </c>
      <c r="K226" t="s">
        <v>386</v>
      </c>
      <c r="L226" t="s">
        <v>390</v>
      </c>
    </row>
    <row r="227" spans="1:12" x14ac:dyDescent="0.3">
      <c r="A227" t="s">
        <v>237</v>
      </c>
      <c r="B227" s="3">
        <v>46124</v>
      </c>
      <c r="C227" t="s">
        <v>421</v>
      </c>
      <c r="D227" t="s">
        <v>342</v>
      </c>
      <c r="E227" t="s">
        <v>363</v>
      </c>
      <c r="F227" t="s">
        <v>370</v>
      </c>
      <c r="G227">
        <v>1</v>
      </c>
      <c r="H227">
        <v>228.29</v>
      </c>
      <c r="I227">
        <v>228.29</v>
      </c>
      <c r="J227" t="s">
        <v>379</v>
      </c>
      <c r="K227" t="s">
        <v>385</v>
      </c>
      <c r="L227" t="s">
        <v>391</v>
      </c>
    </row>
    <row r="228" spans="1:12" x14ac:dyDescent="0.3">
      <c r="A228" t="s">
        <v>238</v>
      </c>
      <c r="B228" s="3">
        <v>46187</v>
      </c>
      <c r="C228" t="s">
        <v>431</v>
      </c>
      <c r="D228" t="s">
        <v>352</v>
      </c>
      <c r="E228" t="s">
        <v>365</v>
      </c>
      <c r="F228" t="s">
        <v>371</v>
      </c>
      <c r="G228">
        <v>2</v>
      </c>
      <c r="H228">
        <v>30645.33</v>
      </c>
      <c r="I228">
        <v>61290.66</v>
      </c>
      <c r="J228" t="s">
        <v>381</v>
      </c>
      <c r="K228" t="s">
        <v>386</v>
      </c>
      <c r="L228" t="s">
        <v>390</v>
      </c>
    </row>
    <row r="229" spans="1:12" x14ac:dyDescent="0.3">
      <c r="A229" t="s">
        <v>239</v>
      </c>
      <c r="B229" s="3">
        <v>46069</v>
      </c>
      <c r="C229" t="s">
        <v>413</v>
      </c>
      <c r="D229" t="s">
        <v>334</v>
      </c>
      <c r="E229" t="s">
        <v>361</v>
      </c>
      <c r="F229" t="s">
        <v>371</v>
      </c>
      <c r="G229">
        <v>5</v>
      </c>
      <c r="H229">
        <v>2569.9</v>
      </c>
      <c r="I229">
        <v>12849.5</v>
      </c>
      <c r="J229" t="s">
        <v>380</v>
      </c>
      <c r="K229" t="s">
        <v>383</v>
      </c>
      <c r="L229" t="s">
        <v>391</v>
      </c>
    </row>
    <row r="230" spans="1:12" x14ac:dyDescent="0.3">
      <c r="A230" t="s">
        <v>240</v>
      </c>
      <c r="B230" s="3">
        <v>46105</v>
      </c>
      <c r="C230" t="s">
        <v>415</v>
      </c>
      <c r="D230" t="s">
        <v>336</v>
      </c>
      <c r="E230" t="s">
        <v>361</v>
      </c>
      <c r="F230" t="s">
        <v>371</v>
      </c>
      <c r="G230">
        <v>3</v>
      </c>
      <c r="H230">
        <v>2332.33</v>
      </c>
      <c r="I230">
        <v>6996.99</v>
      </c>
      <c r="J230" t="s">
        <v>377</v>
      </c>
      <c r="K230" t="s">
        <v>383</v>
      </c>
      <c r="L230" t="s">
        <v>390</v>
      </c>
    </row>
    <row r="231" spans="1:12" x14ac:dyDescent="0.3">
      <c r="A231" t="s">
        <v>241</v>
      </c>
      <c r="B231" s="3">
        <v>46183</v>
      </c>
      <c r="C231" t="s">
        <v>422</v>
      </c>
      <c r="D231" t="s">
        <v>343</v>
      </c>
      <c r="E231" t="s">
        <v>360</v>
      </c>
      <c r="F231" t="s">
        <v>371</v>
      </c>
      <c r="G231">
        <v>5</v>
      </c>
      <c r="H231">
        <v>1718.8</v>
      </c>
      <c r="I231">
        <v>8594</v>
      </c>
      <c r="J231" t="s">
        <v>375</v>
      </c>
      <c r="K231" t="s">
        <v>386</v>
      </c>
      <c r="L231" t="s">
        <v>389</v>
      </c>
    </row>
    <row r="232" spans="1:12" x14ac:dyDescent="0.3">
      <c r="A232" t="s">
        <v>242</v>
      </c>
      <c r="B232" s="3">
        <v>46062</v>
      </c>
      <c r="C232" t="s">
        <v>422</v>
      </c>
      <c r="D232" t="s">
        <v>343</v>
      </c>
      <c r="E232" t="s">
        <v>361</v>
      </c>
      <c r="F232" t="s">
        <v>371</v>
      </c>
      <c r="G232">
        <v>5</v>
      </c>
      <c r="H232">
        <v>2720.8</v>
      </c>
      <c r="I232">
        <v>13604</v>
      </c>
      <c r="J232" t="s">
        <v>378</v>
      </c>
      <c r="K232" t="s">
        <v>386</v>
      </c>
      <c r="L232" t="s">
        <v>390</v>
      </c>
    </row>
    <row r="233" spans="1:12" x14ac:dyDescent="0.3">
      <c r="A233" t="s">
        <v>243</v>
      </c>
      <c r="B233" s="3">
        <v>46265</v>
      </c>
      <c r="C233" t="s">
        <v>419</v>
      </c>
      <c r="D233" t="s">
        <v>340</v>
      </c>
      <c r="E233" t="s">
        <v>359</v>
      </c>
      <c r="F233" t="s">
        <v>372</v>
      </c>
      <c r="G233">
        <v>1</v>
      </c>
      <c r="H233">
        <v>824.62</v>
      </c>
      <c r="I233">
        <v>824.62</v>
      </c>
      <c r="J233" t="s">
        <v>376</v>
      </c>
      <c r="K233" t="s">
        <v>386</v>
      </c>
      <c r="L233" t="s">
        <v>390</v>
      </c>
    </row>
    <row r="234" spans="1:12" x14ac:dyDescent="0.3">
      <c r="A234" t="s">
        <v>244</v>
      </c>
      <c r="B234" s="3">
        <v>46183</v>
      </c>
      <c r="C234" t="s">
        <v>428</v>
      </c>
      <c r="D234" t="s">
        <v>349</v>
      </c>
      <c r="E234" t="s">
        <v>363</v>
      </c>
      <c r="F234" t="s">
        <v>370</v>
      </c>
      <c r="G234">
        <v>1</v>
      </c>
      <c r="H234">
        <v>249.9</v>
      </c>
      <c r="I234">
        <v>249.9</v>
      </c>
      <c r="J234" t="s">
        <v>377</v>
      </c>
      <c r="K234" t="s">
        <v>385</v>
      </c>
      <c r="L234" t="s">
        <v>390</v>
      </c>
    </row>
    <row r="235" spans="1:12" x14ac:dyDescent="0.3">
      <c r="A235" t="s">
        <v>245</v>
      </c>
      <c r="B235" s="3">
        <v>46041</v>
      </c>
      <c r="C235" t="s">
        <v>429</v>
      </c>
      <c r="D235" t="s">
        <v>350</v>
      </c>
      <c r="E235" t="s">
        <v>358</v>
      </c>
      <c r="F235" t="s">
        <v>372</v>
      </c>
      <c r="G235">
        <v>4</v>
      </c>
      <c r="H235">
        <v>3070.36</v>
      </c>
      <c r="I235">
        <v>12281.44</v>
      </c>
      <c r="J235" t="s">
        <v>381</v>
      </c>
      <c r="K235" t="s">
        <v>385</v>
      </c>
      <c r="L235" t="s">
        <v>390</v>
      </c>
    </row>
    <row r="236" spans="1:12" x14ac:dyDescent="0.3">
      <c r="A236" t="s">
        <v>246</v>
      </c>
      <c r="B236" s="3">
        <v>46059</v>
      </c>
      <c r="C236" t="s">
        <v>414</v>
      </c>
      <c r="D236" t="s">
        <v>335</v>
      </c>
      <c r="E236" t="s">
        <v>368</v>
      </c>
      <c r="F236" t="s">
        <v>373</v>
      </c>
      <c r="G236">
        <v>2</v>
      </c>
      <c r="H236">
        <v>6292.25</v>
      </c>
      <c r="I236">
        <v>12584.5</v>
      </c>
      <c r="J236" t="s">
        <v>378</v>
      </c>
      <c r="K236" t="s">
        <v>385</v>
      </c>
      <c r="L236" t="s">
        <v>390</v>
      </c>
    </row>
    <row r="237" spans="1:12" x14ac:dyDescent="0.3">
      <c r="A237" t="s">
        <v>247</v>
      </c>
      <c r="B237" s="3">
        <v>46050</v>
      </c>
      <c r="C237" t="s">
        <v>411</v>
      </c>
      <c r="D237" t="s">
        <v>332</v>
      </c>
      <c r="E237" t="s">
        <v>358</v>
      </c>
      <c r="F237" t="s">
        <v>372</v>
      </c>
      <c r="G237">
        <v>3</v>
      </c>
      <c r="H237">
        <v>3209.59</v>
      </c>
      <c r="I237">
        <v>9628.77</v>
      </c>
      <c r="J237" t="s">
        <v>381</v>
      </c>
      <c r="K237" t="s">
        <v>383</v>
      </c>
      <c r="L237" t="s">
        <v>390</v>
      </c>
    </row>
    <row r="238" spans="1:12" x14ac:dyDescent="0.3">
      <c r="A238" t="s">
        <v>248</v>
      </c>
      <c r="B238" s="3">
        <v>46035</v>
      </c>
      <c r="C238" t="s">
        <v>416</v>
      </c>
      <c r="D238" t="s">
        <v>337</v>
      </c>
      <c r="E238" t="s">
        <v>368</v>
      </c>
      <c r="F238" t="s">
        <v>373</v>
      </c>
      <c r="G238">
        <v>2</v>
      </c>
      <c r="H238">
        <v>6033.14</v>
      </c>
      <c r="I238">
        <v>12066.28</v>
      </c>
      <c r="J238" t="s">
        <v>379</v>
      </c>
      <c r="K238" t="s">
        <v>384</v>
      </c>
      <c r="L238" t="s">
        <v>390</v>
      </c>
    </row>
    <row r="239" spans="1:12" x14ac:dyDescent="0.3">
      <c r="A239" t="s">
        <v>249</v>
      </c>
      <c r="B239" s="3">
        <v>46207</v>
      </c>
      <c r="C239" t="s">
        <v>417</v>
      </c>
      <c r="D239" t="s">
        <v>338</v>
      </c>
      <c r="E239" t="s">
        <v>359</v>
      </c>
      <c r="F239" t="s">
        <v>372</v>
      </c>
      <c r="G239">
        <v>3</v>
      </c>
      <c r="H239">
        <v>978.08</v>
      </c>
      <c r="I239">
        <v>2934.2400000000002</v>
      </c>
      <c r="J239" t="s">
        <v>374</v>
      </c>
      <c r="K239" t="s">
        <v>385</v>
      </c>
      <c r="L239" t="s">
        <v>391</v>
      </c>
    </row>
    <row r="240" spans="1:12" x14ac:dyDescent="0.3">
      <c r="A240" t="s">
        <v>250</v>
      </c>
      <c r="B240" s="3">
        <v>46150</v>
      </c>
      <c r="C240" t="s">
        <v>425</v>
      </c>
      <c r="D240" t="s">
        <v>346</v>
      </c>
      <c r="E240" t="s">
        <v>368</v>
      </c>
      <c r="F240" t="s">
        <v>373</v>
      </c>
      <c r="G240">
        <v>4</v>
      </c>
      <c r="H240">
        <v>6992.8</v>
      </c>
      <c r="I240">
        <v>27971.200000000001</v>
      </c>
      <c r="J240" t="s">
        <v>379</v>
      </c>
      <c r="K240" t="s">
        <v>386</v>
      </c>
      <c r="L240" t="s">
        <v>390</v>
      </c>
    </row>
    <row r="241" spans="1:12" x14ac:dyDescent="0.3">
      <c r="A241" t="s">
        <v>251</v>
      </c>
      <c r="B241" s="3">
        <v>46035</v>
      </c>
      <c r="C241" t="s">
        <v>428</v>
      </c>
      <c r="D241" t="s">
        <v>349</v>
      </c>
      <c r="E241" t="s">
        <v>360</v>
      </c>
      <c r="F241" t="s">
        <v>371</v>
      </c>
      <c r="G241">
        <v>2</v>
      </c>
      <c r="H241">
        <v>1830</v>
      </c>
      <c r="I241">
        <v>3660</v>
      </c>
      <c r="J241" t="s">
        <v>381</v>
      </c>
      <c r="K241" t="s">
        <v>386</v>
      </c>
      <c r="L241" t="s">
        <v>389</v>
      </c>
    </row>
    <row r="242" spans="1:12" x14ac:dyDescent="0.3">
      <c r="A242" t="s">
        <v>252</v>
      </c>
      <c r="B242" s="3">
        <v>46025</v>
      </c>
      <c r="C242" t="s">
        <v>413</v>
      </c>
      <c r="D242" t="s">
        <v>334</v>
      </c>
      <c r="E242" t="s">
        <v>354</v>
      </c>
      <c r="F242" t="s">
        <v>369</v>
      </c>
      <c r="G242">
        <v>4</v>
      </c>
      <c r="H242">
        <v>1722.87</v>
      </c>
      <c r="I242">
        <v>6891.48</v>
      </c>
      <c r="J242" t="s">
        <v>374</v>
      </c>
      <c r="K242" t="s">
        <v>387</v>
      </c>
      <c r="L242" t="s">
        <v>389</v>
      </c>
    </row>
    <row r="243" spans="1:12" x14ac:dyDescent="0.3">
      <c r="A243" t="s">
        <v>253</v>
      </c>
      <c r="B243" s="3">
        <v>46125</v>
      </c>
      <c r="C243" t="s">
        <v>426</v>
      </c>
      <c r="D243" t="s">
        <v>347</v>
      </c>
      <c r="E243" t="s">
        <v>364</v>
      </c>
      <c r="F243" t="s">
        <v>373</v>
      </c>
      <c r="G243">
        <v>4</v>
      </c>
      <c r="H243">
        <v>8272.09</v>
      </c>
      <c r="I243">
        <v>33088.36</v>
      </c>
      <c r="J243" t="s">
        <v>376</v>
      </c>
      <c r="K243" t="s">
        <v>387</v>
      </c>
      <c r="L243" t="s">
        <v>391</v>
      </c>
    </row>
    <row r="244" spans="1:12" x14ac:dyDescent="0.3">
      <c r="A244" t="s">
        <v>254</v>
      </c>
      <c r="B244" s="3">
        <v>46138</v>
      </c>
      <c r="C244" t="s">
        <v>419</v>
      </c>
      <c r="D244" t="s">
        <v>340</v>
      </c>
      <c r="E244" t="s">
        <v>357</v>
      </c>
      <c r="F244" t="s">
        <v>371</v>
      </c>
      <c r="G244">
        <v>1</v>
      </c>
      <c r="H244">
        <v>879.54</v>
      </c>
      <c r="I244">
        <v>879.54</v>
      </c>
      <c r="J244" t="s">
        <v>375</v>
      </c>
      <c r="K244" t="s">
        <v>384</v>
      </c>
      <c r="L244" t="s">
        <v>390</v>
      </c>
    </row>
    <row r="245" spans="1:12" x14ac:dyDescent="0.3">
      <c r="A245" t="s">
        <v>255</v>
      </c>
      <c r="B245" s="3">
        <v>46109</v>
      </c>
      <c r="C245" t="s">
        <v>415</v>
      </c>
      <c r="D245" t="s">
        <v>336</v>
      </c>
      <c r="E245" t="s">
        <v>366</v>
      </c>
      <c r="F245" t="s">
        <v>373</v>
      </c>
      <c r="G245">
        <v>3</v>
      </c>
      <c r="H245">
        <v>12707.75</v>
      </c>
      <c r="I245">
        <v>38123.25</v>
      </c>
      <c r="J245" t="s">
        <v>374</v>
      </c>
      <c r="K245" t="s">
        <v>384</v>
      </c>
      <c r="L245" t="s">
        <v>391</v>
      </c>
    </row>
    <row r="246" spans="1:12" x14ac:dyDescent="0.3">
      <c r="A246" t="s">
        <v>256</v>
      </c>
      <c r="B246" s="3">
        <v>46034</v>
      </c>
      <c r="C246" t="s">
        <v>430</v>
      </c>
      <c r="D246" t="s">
        <v>351</v>
      </c>
      <c r="E246" t="s">
        <v>356</v>
      </c>
      <c r="F246" t="s">
        <v>370</v>
      </c>
      <c r="G246">
        <v>4</v>
      </c>
      <c r="H246">
        <v>120</v>
      </c>
      <c r="I246">
        <v>480</v>
      </c>
      <c r="J246" t="s">
        <v>378</v>
      </c>
      <c r="K246" t="s">
        <v>385</v>
      </c>
      <c r="L246" t="s">
        <v>391</v>
      </c>
    </row>
    <row r="247" spans="1:12" x14ac:dyDescent="0.3">
      <c r="A247" t="s">
        <v>257</v>
      </c>
      <c r="B247" s="3">
        <v>46154</v>
      </c>
      <c r="C247" t="s">
        <v>414</v>
      </c>
      <c r="D247" t="s">
        <v>335</v>
      </c>
      <c r="E247" t="s">
        <v>368</v>
      </c>
      <c r="F247" t="s">
        <v>373</v>
      </c>
      <c r="G247">
        <v>2</v>
      </c>
      <c r="H247">
        <v>6638.14</v>
      </c>
      <c r="I247">
        <v>13276.28</v>
      </c>
      <c r="J247" t="s">
        <v>378</v>
      </c>
      <c r="K247" t="s">
        <v>384</v>
      </c>
      <c r="L247" t="s">
        <v>390</v>
      </c>
    </row>
    <row r="248" spans="1:12" x14ac:dyDescent="0.3">
      <c r="A248" t="s">
        <v>258</v>
      </c>
      <c r="B248" s="3">
        <v>46152</v>
      </c>
      <c r="C248" t="s">
        <v>420</v>
      </c>
      <c r="D248" t="s">
        <v>341</v>
      </c>
      <c r="E248" t="s">
        <v>363</v>
      </c>
      <c r="F248" t="s">
        <v>370</v>
      </c>
      <c r="G248">
        <v>3</v>
      </c>
      <c r="H248">
        <v>254.69</v>
      </c>
      <c r="I248">
        <v>764.06999999999994</v>
      </c>
      <c r="J248" t="s">
        <v>381</v>
      </c>
      <c r="K248" t="s">
        <v>386</v>
      </c>
      <c r="L248" t="s">
        <v>390</v>
      </c>
    </row>
    <row r="249" spans="1:12" x14ac:dyDescent="0.3">
      <c r="A249" t="s">
        <v>259</v>
      </c>
      <c r="B249" s="3">
        <v>46195</v>
      </c>
      <c r="C249" t="s">
        <v>413</v>
      </c>
      <c r="D249" t="s">
        <v>334</v>
      </c>
      <c r="E249" t="s">
        <v>368</v>
      </c>
      <c r="F249" t="s">
        <v>373</v>
      </c>
      <c r="G249">
        <v>1</v>
      </c>
      <c r="H249">
        <v>6328.87</v>
      </c>
      <c r="I249">
        <v>6328.87</v>
      </c>
      <c r="J249" t="s">
        <v>377</v>
      </c>
      <c r="K249" t="s">
        <v>383</v>
      </c>
      <c r="L249" t="s">
        <v>391</v>
      </c>
    </row>
    <row r="250" spans="1:12" x14ac:dyDescent="0.3">
      <c r="A250" t="s">
        <v>260</v>
      </c>
      <c r="B250" s="3">
        <v>46223</v>
      </c>
      <c r="C250" t="s">
        <v>426</v>
      </c>
      <c r="D250" t="s">
        <v>347</v>
      </c>
      <c r="E250" t="s">
        <v>368</v>
      </c>
      <c r="F250" t="s">
        <v>373</v>
      </c>
      <c r="G250">
        <v>3</v>
      </c>
      <c r="H250">
        <v>7107.19</v>
      </c>
      <c r="I250">
        <v>21321.57</v>
      </c>
      <c r="J250" t="s">
        <v>376</v>
      </c>
      <c r="K250" t="s">
        <v>383</v>
      </c>
      <c r="L250" t="s">
        <v>391</v>
      </c>
    </row>
    <row r="251" spans="1:12" x14ac:dyDescent="0.3">
      <c r="A251" t="s">
        <v>261</v>
      </c>
      <c r="B251" s="3">
        <v>46207</v>
      </c>
      <c r="C251" t="s">
        <v>416</v>
      </c>
      <c r="D251" t="s">
        <v>337</v>
      </c>
      <c r="E251" t="s">
        <v>368</v>
      </c>
      <c r="F251" t="s">
        <v>373</v>
      </c>
      <c r="G251">
        <v>2</v>
      </c>
      <c r="H251">
        <v>6531.5</v>
      </c>
      <c r="I251">
        <v>13063</v>
      </c>
      <c r="J251" t="s">
        <v>374</v>
      </c>
      <c r="K251" t="s">
        <v>384</v>
      </c>
      <c r="L251" t="s">
        <v>390</v>
      </c>
    </row>
    <row r="252" spans="1:12" x14ac:dyDescent="0.3">
      <c r="A252" t="s">
        <v>262</v>
      </c>
      <c r="B252" s="3">
        <v>46135</v>
      </c>
      <c r="C252" t="s">
        <v>413</v>
      </c>
      <c r="D252" t="s">
        <v>334</v>
      </c>
      <c r="E252" t="s">
        <v>363</v>
      </c>
      <c r="F252" t="s">
        <v>370</v>
      </c>
      <c r="G252">
        <v>1</v>
      </c>
      <c r="H252">
        <v>234.54</v>
      </c>
      <c r="I252">
        <v>234.54</v>
      </c>
      <c r="J252" t="s">
        <v>374</v>
      </c>
      <c r="K252" t="s">
        <v>385</v>
      </c>
      <c r="L252" t="s">
        <v>389</v>
      </c>
    </row>
    <row r="253" spans="1:12" x14ac:dyDescent="0.3">
      <c r="A253" t="s">
        <v>263</v>
      </c>
      <c r="B253" s="3">
        <v>46179</v>
      </c>
      <c r="C253" t="s">
        <v>427</v>
      </c>
      <c r="D253" t="s">
        <v>348</v>
      </c>
      <c r="E253" t="s">
        <v>360</v>
      </c>
      <c r="F253" t="s">
        <v>371</v>
      </c>
      <c r="G253">
        <v>4</v>
      </c>
      <c r="H253">
        <v>1800.66</v>
      </c>
      <c r="I253">
        <v>7202.64</v>
      </c>
      <c r="J253" t="s">
        <v>374</v>
      </c>
      <c r="K253" t="s">
        <v>386</v>
      </c>
      <c r="L253" t="s">
        <v>390</v>
      </c>
    </row>
    <row r="254" spans="1:12" x14ac:dyDescent="0.3">
      <c r="A254" t="s">
        <v>264</v>
      </c>
      <c r="B254" s="3">
        <v>46145</v>
      </c>
      <c r="C254" t="s">
        <v>416</v>
      </c>
      <c r="D254" t="s">
        <v>337</v>
      </c>
      <c r="E254" t="s">
        <v>356</v>
      </c>
      <c r="F254" t="s">
        <v>370</v>
      </c>
      <c r="G254">
        <v>3</v>
      </c>
      <c r="H254">
        <v>131.94999999999999</v>
      </c>
      <c r="I254">
        <v>395.84999999999997</v>
      </c>
      <c r="J254" t="s">
        <v>378</v>
      </c>
      <c r="K254" t="s">
        <v>384</v>
      </c>
      <c r="L254" t="s">
        <v>390</v>
      </c>
    </row>
    <row r="255" spans="1:12" x14ac:dyDescent="0.3">
      <c r="A255" t="s">
        <v>265</v>
      </c>
      <c r="B255" s="3">
        <v>46113</v>
      </c>
      <c r="C255" t="s">
        <v>422</v>
      </c>
      <c r="D255" t="s">
        <v>343</v>
      </c>
      <c r="E255" t="s">
        <v>362</v>
      </c>
      <c r="F255" t="s">
        <v>372</v>
      </c>
      <c r="G255">
        <v>5</v>
      </c>
      <c r="H255">
        <v>2130.62</v>
      </c>
      <c r="I255">
        <v>10653.099999999999</v>
      </c>
      <c r="J255" t="s">
        <v>381</v>
      </c>
      <c r="K255" t="s">
        <v>384</v>
      </c>
      <c r="L255" t="s">
        <v>390</v>
      </c>
    </row>
    <row r="256" spans="1:12" x14ac:dyDescent="0.3">
      <c r="A256" t="s">
        <v>266</v>
      </c>
      <c r="B256" s="3">
        <v>46264</v>
      </c>
      <c r="C256" t="s">
        <v>428</v>
      </c>
      <c r="D256" t="s">
        <v>349</v>
      </c>
      <c r="E256" t="s">
        <v>357</v>
      </c>
      <c r="F256" t="s">
        <v>371</v>
      </c>
      <c r="G256">
        <v>5</v>
      </c>
      <c r="H256">
        <v>863.73</v>
      </c>
      <c r="I256">
        <v>4318.6499999999996</v>
      </c>
      <c r="J256" t="s">
        <v>376</v>
      </c>
      <c r="K256" t="s">
        <v>385</v>
      </c>
      <c r="L256" t="s">
        <v>390</v>
      </c>
    </row>
    <row r="257" spans="1:12" x14ac:dyDescent="0.3">
      <c r="A257" t="s">
        <v>267</v>
      </c>
      <c r="B257" s="3">
        <v>46262</v>
      </c>
      <c r="C257" t="s">
        <v>428</v>
      </c>
      <c r="D257" t="s">
        <v>349</v>
      </c>
      <c r="E257" t="s">
        <v>368</v>
      </c>
      <c r="F257" t="s">
        <v>373</v>
      </c>
      <c r="G257">
        <v>3</v>
      </c>
      <c r="H257">
        <v>6578.63</v>
      </c>
      <c r="I257">
        <v>19735.89</v>
      </c>
      <c r="J257" t="s">
        <v>375</v>
      </c>
      <c r="K257" t="s">
        <v>386</v>
      </c>
      <c r="L257" t="s">
        <v>389</v>
      </c>
    </row>
    <row r="258" spans="1:12" x14ac:dyDescent="0.3">
      <c r="A258" t="s">
        <v>268</v>
      </c>
      <c r="B258" s="3">
        <v>46124</v>
      </c>
      <c r="C258" t="s">
        <v>430</v>
      </c>
      <c r="D258" t="s">
        <v>351</v>
      </c>
      <c r="E258" t="s">
        <v>356</v>
      </c>
      <c r="F258" t="s">
        <v>370</v>
      </c>
      <c r="G258">
        <v>4</v>
      </c>
      <c r="H258">
        <v>129.5</v>
      </c>
      <c r="I258">
        <v>518</v>
      </c>
      <c r="J258" t="s">
        <v>377</v>
      </c>
      <c r="K258" t="s">
        <v>383</v>
      </c>
      <c r="L258" t="s">
        <v>390</v>
      </c>
    </row>
    <row r="259" spans="1:12" x14ac:dyDescent="0.3">
      <c r="A259" t="s">
        <v>269</v>
      </c>
      <c r="B259" s="3">
        <v>46136</v>
      </c>
      <c r="C259" t="s">
        <v>424</v>
      </c>
      <c r="D259" t="s">
        <v>345</v>
      </c>
      <c r="E259" t="s">
        <v>355</v>
      </c>
      <c r="F259" t="s">
        <v>369</v>
      </c>
      <c r="G259">
        <v>1</v>
      </c>
      <c r="H259">
        <v>678.49</v>
      </c>
      <c r="I259">
        <v>678.49</v>
      </c>
      <c r="J259" t="s">
        <v>376</v>
      </c>
      <c r="K259" t="s">
        <v>384</v>
      </c>
      <c r="L259" t="s">
        <v>391</v>
      </c>
    </row>
    <row r="260" spans="1:12" x14ac:dyDescent="0.3">
      <c r="A260" t="s">
        <v>270</v>
      </c>
      <c r="B260" s="3">
        <v>46058</v>
      </c>
      <c r="C260" t="s">
        <v>422</v>
      </c>
      <c r="D260" t="s">
        <v>343</v>
      </c>
      <c r="E260" t="s">
        <v>357</v>
      </c>
      <c r="F260" t="s">
        <v>371</v>
      </c>
      <c r="G260">
        <v>5</v>
      </c>
      <c r="H260">
        <v>935.31</v>
      </c>
      <c r="I260">
        <v>4676.5499999999993</v>
      </c>
      <c r="J260" t="s">
        <v>376</v>
      </c>
      <c r="K260" t="s">
        <v>384</v>
      </c>
      <c r="L260" t="s">
        <v>390</v>
      </c>
    </row>
    <row r="261" spans="1:12" x14ac:dyDescent="0.3">
      <c r="A261" t="s">
        <v>271</v>
      </c>
      <c r="B261" s="3">
        <v>46082</v>
      </c>
      <c r="C261" t="s">
        <v>423</v>
      </c>
      <c r="D261" t="s">
        <v>344</v>
      </c>
      <c r="E261" t="s">
        <v>354</v>
      </c>
      <c r="F261" t="s">
        <v>369</v>
      </c>
      <c r="G261">
        <v>5</v>
      </c>
      <c r="H261">
        <v>1701.24</v>
      </c>
      <c r="I261">
        <v>8506.2000000000007</v>
      </c>
      <c r="J261" t="s">
        <v>379</v>
      </c>
      <c r="K261" t="s">
        <v>387</v>
      </c>
      <c r="L261" t="s">
        <v>389</v>
      </c>
    </row>
    <row r="262" spans="1:12" x14ac:dyDescent="0.3">
      <c r="A262" t="s">
        <v>272</v>
      </c>
      <c r="B262" s="3">
        <v>46058</v>
      </c>
      <c r="C262" t="s">
        <v>420</v>
      </c>
      <c r="D262" t="s">
        <v>341</v>
      </c>
      <c r="E262" t="s">
        <v>368</v>
      </c>
      <c r="F262" t="s">
        <v>373</v>
      </c>
      <c r="G262">
        <v>1</v>
      </c>
      <c r="H262">
        <v>6735.55</v>
      </c>
      <c r="I262">
        <v>6735.55</v>
      </c>
      <c r="J262" t="s">
        <v>374</v>
      </c>
      <c r="K262" t="s">
        <v>385</v>
      </c>
      <c r="L262" t="s">
        <v>389</v>
      </c>
    </row>
    <row r="263" spans="1:12" x14ac:dyDescent="0.3">
      <c r="A263" t="s">
        <v>273</v>
      </c>
      <c r="B263" s="3">
        <v>46074</v>
      </c>
      <c r="C263" t="s">
        <v>414</v>
      </c>
      <c r="D263" t="s">
        <v>335</v>
      </c>
      <c r="E263" t="s">
        <v>362</v>
      </c>
      <c r="F263" t="s">
        <v>372</v>
      </c>
      <c r="G263">
        <v>4</v>
      </c>
      <c r="H263">
        <v>2190.08</v>
      </c>
      <c r="I263">
        <v>8760.32</v>
      </c>
      <c r="J263" t="s">
        <v>377</v>
      </c>
      <c r="K263" t="s">
        <v>383</v>
      </c>
      <c r="L263" t="s">
        <v>390</v>
      </c>
    </row>
    <row r="264" spans="1:12" x14ac:dyDescent="0.3">
      <c r="A264" t="s">
        <v>274</v>
      </c>
      <c r="B264" s="3">
        <v>46212</v>
      </c>
      <c r="C264" t="s">
        <v>429</v>
      </c>
      <c r="D264" t="s">
        <v>350</v>
      </c>
      <c r="E264" t="s">
        <v>354</v>
      </c>
      <c r="F264" t="s">
        <v>369</v>
      </c>
      <c r="G264">
        <v>5</v>
      </c>
      <c r="H264">
        <v>1703.6</v>
      </c>
      <c r="I264">
        <v>8518</v>
      </c>
      <c r="J264" t="s">
        <v>379</v>
      </c>
      <c r="K264" t="s">
        <v>384</v>
      </c>
      <c r="L264" t="s">
        <v>390</v>
      </c>
    </row>
    <row r="265" spans="1:12" x14ac:dyDescent="0.3">
      <c r="A265" t="s">
        <v>275</v>
      </c>
      <c r="B265" s="3">
        <v>46070</v>
      </c>
      <c r="C265" t="s">
        <v>427</v>
      </c>
      <c r="D265" t="s">
        <v>348</v>
      </c>
      <c r="E265" t="s">
        <v>359</v>
      </c>
      <c r="F265" t="s">
        <v>372</v>
      </c>
      <c r="G265">
        <v>4</v>
      </c>
      <c r="H265">
        <v>951.83</v>
      </c>
      <c r="I265">
        <v>3807.32</v>
      </c>
      <c r="J265" t="s">
        <v>380</v>
      </c>
      <c r="K265" t="s">
        <v>387</v>
      </c>
      <c r="L265" t="s">
        <v>391</v>
      </c>
    </row>
    <row r="266" spans="1:12" x14ac:dyDescent="0.3">
      <c r="A266" t="s">
        <v>276</v>
      </c>
      <c r="B266" s="3">
        <v>46108</v>
      </c>
      <c r="C266" t="s">
        <v>431</v>
      </c>
      <c r="D266" t="s">
        <v>352</v>
      </c>
      <c r="E266" t="s">
        <v>363</v>
      </c>
      <c r="F266" t="s">
        <v>370</v>
      </c>
      <c r="G266">
        <v>1</v>
      </c>
      <c r="H266">
        <v>271.42</v>
      </c>
      <c r="I266">
        <v>271.42</v>
      </c>
      <c r="J266" t="s">
        <v>381</v>
      </c>
      <c r="K266" t="s">
        <v>384</v>
      </c>
      <c r="L266" t="s">
        <v>391</v>
      </c>
    </row>
    <row r="267" spans="1:12" x14ac:dyDescent="0.3">
      <c r="A267" t="s">
        <v>277</v>
      </c>
      <c r="B267" s="3">
        <v>46051</v>
      </c>
      <c r="C267" t="s">
        <v>429</v>
      </c>
      <c r="D267" t="s">
        <v>350</v>
      </c>
      <c r="E267" t="s">
        <v>368</v>
      </c>
      <c r="F267" t="s">
        <v>373</v>
      </c>
      <c r="G267">
        <v>3</v>
      </c>
      <c r="H267">
        <v>6100.65</v>
      </c>
      <c r="I267">
        <v>18301.949999999997</v>
      </c>
      <c r="J267" t="s">
        <v>381</v>
      </c>
      <c r="K267" t="s">
        <v>387</v>
      </c>
      <c r="L267" t="s">
        <v>389</v>
      </c>
    </row>
    <row r="268" spans="1:12" x14ac:dyDescent="0.3">
      <c r="A268" t="s">
        <v>278</v>
      </c>
      <c r="B268" s="3">
        <v>46225</v>
      </c>
      <c r="C268" t="s">
        <v>426</v>
      </c>
      <c r="D268" t="s">
        <v>347</v>
      </c>
      <c r="E268" t="s">
        <v>361</v>
      </c>
      <c r="F268" t="s">
        <v>371</v>
      </c>
      <c r="G268">
        <v>1</v>
      </c>
      <c r="H268">
        <v>2618.31</v>
      </c>
      <c r="I268">
        <v>2618.31</v>
      </c>
      <c r="J268" t="s">
        <v>376</v>
      </c>
      <c r="K268" t="s">
        <v>384</v>
      </c>
      <c r="L268" t="s">
        <v>391</v>
      </c>
    </row>
    <row r="269" spans="1:12" x14ac:dyDescent="0.3">
      <c r="A269" t="s">
        <v>279</v>
      </c>
      <c r="B269" s="3">
        <v>46154</v>
      </c>
      <c r="C269" t="s">
        <v>425</v>
      </c>
      <c r="D269" t="s">
        <v>346</v>
      </c>
      <c r="E269" t="s">
        <v>359</v>
      </c>
      <c r="F269" t="s">
        <v>372</v>
      </c>
      <c r="G269">
        <v>4</v>
      </c>
      <c r="H269">
        <v>958.86</v>
      </c>
      <c r="I269">
        <v>3835.44</v>
      </c>
      <c r="J269" t="s">
        <v>379</v>
      </c>
      <c r="K269" t="s">
        <v>383</v>
      </c>
      <c r="L269" t="s">
        <v>390</v>
      </c>
    </row>
    <row r="270" spans="1:12" x14ac:dyDescent="0.3">
      <c r="A270" t="s">
        <v>280</v>
      </c>
      <c r="B270" s="3">
        <v>46086</v>
      </c>
      <c r="C270" t="s">
        <v>419</v>
      </c>
      <c r="D270" t="s">
        <v>340</v>
      </c>
      <c r="E270" t="s">
        <v>361</v>
      </c>
      <c r="F270" t="s">
        <v>371</v>
      </c>
      <c r="G270">
        <v>4</v>
      </c>
      <c r="H270">
        <v>2411.8000000000002</v>
      </c>
      <c r="I270">
        <v>9647.2000000000007</v>
      </c>
      <c r="J270" t="s">
        <v>379</v>
      </c>
      <c r="K270" t="s">
        <v>384</v>
      </c>
      <c r="L270" t="s">
        <v>390</v>
      </c>
    </row>
    <row r="271" spans="1:12" x14ac:dyDescent="0.3">
      <c r="A271" t="s">
        <v>281</v>
      </c>
      <c r="B271" s="3">
        <v>46100</v>
      </c>
      <c r="C271" t="s">
        <v>426</v>
      </c>
      <c r="D271" t="s">
        <v>347</v>
      </c>
      <c r="E271" t="s">
        <v>358</v>
      </c>
      <c r="F271" t="s">
        <v>372</v>
      </c>
      <c r="G271">
        <v>3</v>
      </c>
      <c r="H271">
        <v>3490.58</v>
      </c>
      <c r="I271">
        <v>10471.74</v>
      </c>
      <c r="J271" t="s">
        <v>380</v>
      </c>
      <c r="K271" t="s">
        <v>387</v>
      </c>
      <c r="L271" t="s">
        <v>389</v>
      </c>
    </row>
    <row r="272" spans="1:12" x14ac:dyDescent="0.3">
      <c r="A272" t="s">
        <v>282</v>
      </c>
      <c r="B272" s="3">
        <v>46053</v>
      </c>
      <c r="C272" t="s">
        <v>428</v>
      </c>
      <c r="D272" t="s">
        <v>349</v>
      </c>
      <c r="E272" t="s">
        <v>364</v>
      </c>
      <c r="F272" t="s">
        <v>373</v>
      </c>
      <c r="G272">
        <v>2</v>
      </c>
      <c r="H272">
        <v>7755.61</v>
      </c>
      <c r="I272">
        <v>15511.22</v>
      </c>
      <c r="J272" t="s">
        <v>374</v>
      </c>
      <c r="K272" t="s">
        <v>385</v>
      </c>
      <c r="L272" t="s">
        <v>389</v>
      </c>
    </row>
    <row r="273" spans="1:12" x14ac:dyDescent="0.3">
      <c r="A273" t="s">
        <v>283</v>
      </c>
      <c r="B273" s="3">
        <v>46186</v>
      </c>
      <c r="C273" t="s">
        <v>415</v>
      </c>
      <c r="D273" t="s">
        <v>336</v>
      </c>
      <c r="E273" t="s">
        <v>356</v>
      </c>
      <c r="F273" t="s">
        <v>370</v>
      </c>
      <c r="G273">
        <v>3</v>
      </c>
      <c r="H273">
        <v>124.57</v>
      </c>
      <c r="I273">
        <v>373.71</v>
      </c>
      <c r="J273" t="s">
        <v>376</v>
      </c>
      <c r="K273" t="s">
        <v>384</v>
      </c>
      <c r="L273" t="s">
        <v>390</v>
      </c>
    </row>
    <row r="274" spans="1:12" x14ac:dyDescent="0.3">
      <c r="A274" t="s">
        <v>284</v>
      </c>
      <c r="B274" s="3">
        <v>46178</v>
      </c>
      <c r="C274" t="s">
        <v>413</v>
      </c>
      <c r="D274" t="s">
        <v>334</v>
      </c>
      <c r="E274" t="s">
        <v>368</v>
      </c>
      <c r="F274" t="s">
        <v>373</v>
      </c>
      <c r="G274">
        <v>2</v>
      </c>
      <c r="H274">
        <v>6441.47</v>
      </c>
      <c r="I274">
        <v>12882.94</v>
      </c>
      <c r="J274" t="s">
        <v>381</v>
      </c>
      <c r="K274" t="s">
        <v>386</v>
      </c>
      <c r="L274" t="s">
        <v>389</v>
      </c>
    </row>
    <row r="275" spans="1:12" x14ac:dyDescent="0.3">
      <c r="A275" t="s">
        <v>285</v>
      </c>
      <c r="B275" s="3">
        <v>46197</v>
      </c>
      <c r="C275" t="s">
        <v>425</v>
      </c>
      <c r="D275" t="s">
        <v>346</v>
      </c>
      <c r="E275" t="s">
        <v>359</v>
      </c>
      <c r="F275" t="s">
        <v>372</v>
      </c>
      <c r="G275">
        <v>2</v>
      </c>
      <c r="H275">
        <v>947.13</v>
      </c>
      <c r="I275">
        <v>1894.26</v>
      </c>
      <c r="J275" t="s">
        <v>381</v>
      </c>
      <c r="K275" t="s">
        <v>386</v>
      </c>
      <c r="L275" t="s">
        <v>389</v>
      </c>
    </row>
    <row r="276" spans="1:12" x14ac:dyDescent="0.3">
      <c r="A276" t="s">
        <v>286</v>
      </c>
      <c r="B276" s="3">
        <v>46051</v>
      </c>
      <c r="C276" t="s">
        <v>420</v>
      </c>
      <c r="D276" t="s">
        <v>341</v>
      </c>
      <c r="E276" t="s">
        <v>364</v>
      </c>
      <c r="F276" t="s">
        <v>373</v>
      </c>
      <c r="G276">
        <v>1</v>
      </c>
      <c r="H276">
        <v>9209.32</v>
      </c>
      <c r="I276">
        <v>9209.32</v>
      </c>
      <c r="J276" t="s">
        <v>376</v>
      </c>
      <c r="K276" t="s">
        <v>386</v>
      </c>
      <c r="L276" t="s">
        <v>391</v>
      </c>
    </row>
    <row r="277" spans="1:12" x14ac:dyDescent="0.3">
      <c r="A277" t="s">
        <v>287</v>
      </c>
      <c r="B277" s="3">
        <v>46156</v>
      </c>
      <c r="C277" t="s">
        <v>423</v>
      </c>
      <c r="D277" t="s">
        <v>344</v>
      </c>
      <c r="E277" t="s">
        <v>361</v>
      </c>
      <c r="F277" t="s">
        <v>371</v>
      </c>
      <c r="G277">
        <v>2</v>
      </c>
      <c r="H277">
        <v>2414.06</v>
      </c>
      <c r="I277">
        <v>4828.12</v>
      </c>
      <c r="J277" t="s">
        <v>376</v>
      </c>
      <c r="K277" t="s">
        <v>386</v>
      </c>
      <c r="L277" t="s">
        <v>390</v>
      </c>
    </row>
    <row r="278" spans="1:12" x14ac:dyDescent="0.3">
      <c r="A278" t="s">
        <v>288</v>
      </c>
      <c r="B278" s="3">
        <v>46037</v>
      </c>
      <c r="C278" t="s">
        <v>430</v>
      </c>
      <c r="D278" t="s">
        <v>351</v>
      </c>
      <c r="E278" t="s">
        <v>365</v>
      </c>
      <c r="F278" t="s">
        <v>371</v>
      </c>
      <c r="G278">
        <v>5</v>
      </c>
      <c r="H278">
        <v>27694.7</v>
      </c>
      <c r="I278">
        <v>138473.5</v>
      </c>
      <c r="J278" t="s">
        <v>379</v>
      </c>
      <c r="K278" t="s">
        <v>385</v>
      </c>
      <c r="L278" t="s">
        <v>391</v>
      </c>
    </row>
    <row r="279" spans="1:12" x14ac:dyDescent="0.3">
      <c r="A279" t="s">
        <v>289</v>
      </c>
      <c r="B279" s="3">
        <v>46229</v>
      </c>
      <c r="C279" t="s">
        <v>412</v>
      </c>
      <c r="D279" t="s">
        <v>333</v>
      </c>
      <c r="E279" t="s">
        <v>367</v>
      </c>
      <c r="F279" t="s">
        <v>371</v>
      </c>
      <c r="G279">
        <v>5</v>
      </c>
      <c r="H279">
        <v>44661.4</v>
      </c>
      <c r="I279">
        <v>223307</v>
      </c>
      <c r="J279" t="s">
        <v>379</v>
      </c>
      <c r="K279" t="s">
        <v>387</v>
      </c>
      <c r="L279" t="s">
        <v>390</v>
      </c>
    </row>
    <row r="280" spans="1:12" x14ac:dyDescent="0.3">
      <c r="A280" t="s">
        <v>290</v>
      </c>
      <c r="B280" s="3">
        <v>46034</v>
      </c>
      <c r="C280" t="s">
        <v>415</v>
      </c>
      <c r="D280" t="s">
        <v>336</v>
      </c>
      <c r="E280" t="s">
        <v>355</v>
      </c>
      <c r="F280" t="s">
        <v>369</v>
      </c>
      <c r="G280">
        <v>2</v>
      </c>
      <c r="H280">
        <v>710.96</v>
      </c>
      <c r="I280">
        <v>1421.92</v>
      </c>
      <c r="J280" t="s">
        <v>375</v>
      </c>
      <c r="K280" t="s">
        <v>386</v>
      </c>
      <c r="L280" t="s">
        <v>390</v>
      </c>
    </row>
    <row r="281" spans="1:12" x14ac:dyDescent="0.3">
      <c r="A281" t="s">
        <v>291</v>
      </c>
      <c r="B281" s="3">
        <v>46143</v>
      </c>
      <c r="C281" t="s">
        <v>428</v>
      </c>
      <c r="D281" t="s">
        <v>349</v>
      </c>
      <c r="E281" t="s">
        <v>362</v>
      </c>
      <c r="F281" t="s">
        <v>372</v>
      </c>
      <c r="G281">
        <v>1</v>
      </c>
      <c r="H281">
        <v>2413.9</v>
      </c>
      <c r="I281">
        <v>2413.9</v>
      </c>
      <c r="J281" t="s">
        <v>379</v>
      </c>
      <c r="K281" t="s">
        <v>384</v>
      </c>
      <c r="L281" t="s">
        <v>390</v>
      </c>
    </row>
    <row r="282" spans="1:12" x14ac:dyDescent="0.3">
      <c r="A282" t="s">
        <v>292</v>
      </c>
      <c r="B282" s="3">
        <v>46251</v>
      </c>
      <c r="C282" t="s">
        <v>431</v>
      </c>
      <c r="D282" t="s">
        <v>352</v>
      </c>
      <c r="E282" t="s">
        <v>358</v>
      </c>
      <c r="F282" t="s">
        <v>372</v>
      </c>
      <c r="G282">
        <v>4</v>
      </c>
      <c r="H282">
        <v>3119.65</v>
      </c>
      <c r="I282">
        <v>12478.6</v>
      </c>
      <c r="J282" t="s">
        <v>379</v>
      </c>
      <c r="K282" t="s">
        <v>385</v>
      </c>
      <c r="L282" t="s">
        <v>390</v>
      </c>
    </row>
    <row r="283" spans="1:12" x14ac:dyDescent="0.3">
      <c r="A283" t="s">
        <v>293</v>
      </c>
      <c r="B283" s="3">
        <v>46243</v>
      </c>
      <c r="C283" t="s">
        <v>423</v>
      </c>
      <c r="D283" t="s">
        <v>344</v>
      </c>
      <c r="E283" t="s">
        <v>354</v>
      </c>
      <c r="F283" t="s">
        <v>369</v>
      </c>
      <c r="G283">
        <v>5</v>
      </c>
      <c r="H283">
        <v>1667.88</v>
      </c>
      <c r="I283">
        <v>8339.4000000000015</v>
      </c>
      <c r="J283" t="s">
        <v>374</v>
      </c>
      <c r="K283" t="s">
        <v>386</v>
      </c>
      <c r="L283" t="s">
        <v>390</v>
      </c>
    </row>
    <row r="284" spans="1:12" x14ac:dyDescent="0.3">
      <c r="A284" t="s">
        <v>294</v>
      </c>
      <c r="B284" s="3">
        <v>46080</v>
      </c>
      <c r="C284" t="s">
        <v>412</v>
      </c>
      <c r="D284" t="s">
        <v>333</v>
      </c>
      <c r="E284" t="s">
        <v>356</v>
      </c>
      <c r="F284" t="s">
        <v>370</v>
      </c>
      <c r="G284">
        <v>2</v>
      </c>
      <c r="H284">
        <v>125.47</v>
      </c>
      <c r="I284">
        <v>250.94</v>
      </c>
      <c r="J284" t="s">
        <v>377</v>
      </c>
      <c r="K284" t="s">
        <v>385</v>
      </c>
      <c r="L284" t="s">
        <v>389</v>
      </c>
    </row>
    <row r="285" spans="1:12" x14ac:dyDescent="0.3">
      <c r="A285" t="s">
        <v>295</v>
      </c>
      <c r="B285" s="3">
        <v>46120</v>
      </c>
      <c r="C285" t="s">
        <v>411</v>
      </c>
      <c r="D285" t="s">
        <v>332</v>
      </c>
      <c r="E285" t="s">
        <v>355</v>
      </c>
      <c r="F285" t="s">
        <v>369</v>
      </c>
      <c r="G285">
        <v>5</v>
      </c>
      <c r="H285">
        <v>689.38</v>
      </c>
      <c r="I285">
        <v>3446.9</v>
      </c>
      <c r="J285" t="s">
        <v>381</v>
      </c>
      <c r="K285" t="s">
        <v>387</v>
      </c>
      <c r="L285" t="s">
        <v>390</v>
      </c>
    </row>
    <row r="286" spans="1:12" x14ac:dyDescent="0.3">
      <c r="A286" t="s">
        <v>296</v>
      </c>
      <c r="B286" s="3">
        <v>46208</v>
      </c>
      <c r="C286" t="s">
        <v>427</v>
      </c>
      <c r="D286" t="s">
        <v>348</v>
      </c>
      <c r="E286" t="s">
        <v>357</v>
      </c>
      <c r="F286" t="s">
        <v>371</v>
      </c>
      <c r="G286">
        <v>2</v>
      </c>
      <c r="H286">
        <v>978.73</v>
      </c>
      <c r="I286">
        <v>1957.46</v>
      </c>
      <c r="J286" t="s">
        <v>379</v>
      </c>
      <c r="K286" t="s">
        <v>386</v>
      </c>
      <c r="L286" t="s">
        <v>390</v>
      </c>
    </row>
    <row r="287" spans="1:12" x14ac:dyDescent="0.3">
      <c r="A287" t="s">
        <v>297</v>
      </c>
      <c r="B287" s="3">
        <v>46175</v>
      </c>
      <c r="C287" t="s">
        <v>431</v>
      </c>
      <c r="D287" t="s">
        <v>352</v>
      </c>
      <c r="E287" t="s">
        <v>360</v>
      </c>
      <c r="F287" t="s">
        <v>371</v>
      </c>
      <c r="G287">
        <v>2</v>
      </c>
      <c r="H287">
        <v>1644.22</v>
      </c>
      <c r="I287">
        <v>3288.44</v>
      </c>
      <c r="J287" t="s">
        <v>380</v>
      </c>
      <c r="K287" t="s">
        <v>384</v>
      </c>
      <c r="L287" t="s">
        <v>389</v>
      </c>
    </row>
    <row r="288" spans="1:12" x14ac:dyDescent="0.3">
      <c r="A288" t="s">
        <v>298</v>
      </c>
      <c r="B288" s="3">
        <v>46161</v>
      </c>
      <c r="C288" t="s">
        <v>427</v>
      </c>
      <c r="D288" t="s">
        <v>348</v>
      </c>
      <c r="E288" t="s">
        <v>367</v>
      </c>
      <c r="F288" t="s">
        <v>371</v>
      </c>
      <c r="G288">
        <v>4</v>
      </c>
      <c r="H288">
        <v>44450.67</v>
      </c>
      <c r="I288">
        <v>177802.68</v>
      </c>
      <c r="J288" t="s">
        <v>374</v>
      </c>
      <c r="K288" t="s">
        <v>386</v>
      </c>
      <c r="L288" t="s">
        <v>390</v>
      </c>
    </row>
    <row r="289" spans="1:12" x14ac:dyDescent="0.3">
      <c r="A289" t="s">
        <v>299</v>
      </c>
      <c r="B289" s="3">
        <v>46176</v>
      </c>
      <c r="C289" t="s">
        <v>411</v>
      </c>
      <c r="D289" t="s">
        <v>332</v>
      </c>
      <c r="E289" t="s">
        <v>360</v>
      </c>
      <c r="F289" t="s">
        <v>371</v>
      </c>
      <c r="G289">
        <v>5</v>
      </c>
      <c r="H289">
        <v>1734.81</v>
      </c>
      <c r="I289">
        <v>8674.0499999999993</v>
      </c>
      <c r="J289" t="s">
        <v>377</v>
      </c>
      <c r="K289" t="s">
        <v>384</v>
      </c>
      <c r="L289" t="s">
        <v>389</v>
      </c>
    </row>
    <row r="290" spans="1:12" x14ac:dyDescent="0.3">
      <c r="A290" t="s">
        <v>300</v>
      </c>
      <c r="B290" s="3">
        <v>46093</v>
      </c>
      <c r="C290" t="s">
        <v>420</v>
      </c>
      <c r="D290" t="s">
        <v>341</v>
      </c>
      <c r="E290" t="s">
        <v>356</v>
      </c>
      <c r="F290" t="s">
        <v>370</v>
      </c>
      <c r="G290">
        <v>2</v>
      </c>
      <c r="H290">
        <v>117.93</v>
      </c>
      <c r="I290">
        <v>235.86</v>
      </c>
      <c r="J290" t="s">
        <v>374</v>
      </c>
      <c r="K290" t="s">
        <v>385</v>
      </c>
      <c r="L290" t="s">
        <v>391</v>
      </c>
    </row>
    <row r="291" spans="1:12" x14ac:dyDescent="0.3">
      <c r="A291" t="s">
        <v>301</v>
      </c>
      <c r="B291" s="3">
        <v>46264</v>
      </c>
      <c r="C291" t="s">
        <v>421</v>
      </c>
      <c r="D291" t="s">
        <v>342</v>
      </c>
      <c r="E291" t="s">
        <v>368</v>
      </c>
      <c r="F291" t="s">
        <v>373</v>
      </c>
      <c r="G291">
        <v>1</v>
      </c>
      <c r="H291">
        <v>7113.98</v>
      </c>
      <c r="I291">
        <v>7113.98</v>
      </c>
      <c r="J291" t="s">
        <v>378</v>
      </c>
      <c r="K291" t="s">
        <v>385</v>
      </c>
      <c r="L291" t="s">
        <v>390</v>
      </c>
    </row>
    <row r="292" spans="1:12" x14ac:dyDescent="0.3">
      <c r="A292" t="s">
        <v>302</v>
      </c>
      <c r="B292" s="3">
        <v>46216</v>
      </c>
      <c r="C292" t="s">
        <v>424</v>
      </c>
      <c r="D292" t="s">
        <v>345</v>
      </c>
      <c r="E292" t="s">
        <v>361</v>
      </c>
      <c r="F292" t="s">
        <v>371</v>
      </c>
      <c r="G292">
        <v>3</v>
      </c>
      <c r="H292">
        <v>2438.23</v>
      </c>
      <c r="I292">
        <v>7314.6900000000005</v>
      </c>
      <c r="J292" t="s">
        <v>376</v>
      </c>
      <c r="K292" t="s">
        <v>384</v>
      </c>
      <c r="L292" t="s">
        <v>390</v>
      </c>
    </row>
    <row r="293" spans="1:12" x14ac:dyDescent="0.3">
      <c r="A293" t="s">
        <v>303</v>
      </c>
      <c r="B293" s="3">
        <v>46257</v>
      </c>
      <c r="C293" t="s">
        <v>420</v>
      </c>
      <c r="D293" t="s">
        <v>341</v>
      </c>
      <c r="E293" t="s">
        <v>359</v>
      </c>
      <c r="F293" t="s">
        <v>372</v>
      </c>
      <c r="G293">
        <v>2</v>
      </c>
      <c r="H293">
        <v>955.04</v>
      </c>
      <c r="I293">
        <v>1910.08</v>
      </c>
      <c r="J293" t="s">
        <v>379</v>
      </c>
      <c r="K293" t="s">
        <v>385</v>
      </c>
      <c r="L293" t="s">
        <v>391</v>
      </c>
    </row>
    <row r="294" spans="1:12" x14ac:dyDescent="0.3">
      <c r="A294" t="s">
        <v>304</v>
      </c>
      <c r="B294" s="3">
        <v>46088</v>
      </c>
      <c r="C294" t="s">
        <v>414</v>
      </c>
      <c r="D294" t="s">
        <v>335</v>
      </c>
      <c r="E294" t="s">
        <v>356</v>
      </c>
      <c r="F294" t="s">
        <v>370</v>
      </c>
      <c r="G294">
        <v>2</v>
      </c>
      <c r="H294">
        <v>117.32</v>
      </c>
      <c r="I294">
        <v>234.64</v>
      </c>
      <c r="J294" t="s">
        <v>375</v>
      </c>
      <c r="K294" t="s">
        <v>385</v>
      </c>
      <c r="L294" t="s">
        <v>390</v>
      </c>
    </row>
    <row r="295" spans="1:12" x14ac:dyDescent="0.3">
      <c r="A295" t="s">
        <v>305</v>
      </c>
      <c r="B295" s="3">
        <v>46071</v>
      </c>
      <c r="C295" t="s">
        <v>419</v>
      </c>
      <c r="D295" t="s">
        <v>340</v>
      </c>
      <c r="E295" t="s">
        <v>365</v>
      </c>
      <c r="F295" t="s">
        <v>371</v>
      </c>
      <c r="G295">
        <v>5</v>
      </c>
      <c r="H295">
        <v>29257.67</v>
      </c>
      <c r="I295">
        <v>146288.34999999998</v>
      </c>
      <c r="J295" t="s">
        <v>379</v>
      </c>
      <c r="K295" t="s">
        <v>386</v>
      </c>
      <c r="L295" t="s">
        <v>391</v>
      </c>
    </row>
    <row r="296" spans="1:12" x14ac:dyDescent="0.3">
      <c r="A296" t="s">
        <v>306</v>
      </c>
      <c r="B296" s="3">
        <v>46217</v>
      </c>
      <c r="C296" t="s">
        <v>420</v>
      </c>
      <c r="D296" t="s">
        <v>341</v>
      </c>
      <c r="E296" t="s">
        <v>367</v>
      </c>
      <c r="F296" t="s">
        <v>371</v>
      </c>
      <c r="G296">
        <v>1</v>
      </c>
      <c r="H296">
        <v>42193.47</v>
      </c>
      <c r="I296">
        <v>42193.47</v>
      </c>
      <c r="J296" t="s">
        <v>376</v>
      </c>
      <c r="K296" t="s">
        <v>385</v>
      </c>
      <c r="L296" t="s">
        <v>390</v>
      </c>
    </row>
    <row r="297" spans="1:12" x14ac:dyDescent="0.3">
      <c r="A297" t="s">
        <v>307</v>
      </c>
      <c r="B297" s="3">
        <v>46255</v>
      </c>
      <c r="C297" t="s">
        <v>417</v>
      </c>
      <c r="D297" t="s">
        <v>338</v>
      </c>
      <c r="E297" t="s">
        <v>359</v>
      </c>
      <c r="F297" t="s">
        <v>372</v>
      </c>
      <c r="G297">
        <v>3</v>
      </c>
      <c r="H297">
        <v>864.57</v>
      </c>
      <c r="I297">
        <v>2593.71</v>
      </c>
      <c r="J297" t="s">
        <v>376</v>
      </c>
      <c r="K297" t="s">
        <v>383</v>
      </c>
      <c r="L297" t="s">
        <v>389</v>
      </c>
    </row>
    <row r="298" spans="1:12" x14ac:dyDescent="0.3">
      <c r="A298" t="s">
        <v>308</v>
      </c>
      <c r="B298" s="3">
        <v>46201</v>
      </c>
      <c r="C298" t="s">
        <v>417</v>
      </c>
      <c r="D298" t="s">
        <v>338</v>
      </c>
      <c r="E298" t="s">
        <v>358</v>
      </c>
      <c r="F298" t="s">
        <v>372</v>
      </c>
      <c r="G298">
        <v>4</v>
      </c>
      <c r="H298">
        <v>3465.24</v>
      </c>
      <c r="I298">
        <v>13860.96</v>
      </c>
      <c r="J298" t="s">
        <v>379</v>
      </c>
      <c r="K298" t="s">
        <v>384</v>
      </c>
      <c r="L298" t="s">
        <v>391</v>
      </c>
    </row>
    <row r="299" spans="1:12" x14ac:dyDescent="0.3">
      <c r="A299" t="s">
        <v>309</v>
      </c>
      <c r="B299" s="3">
        <v>46159</v>
      </c>
      <c r="C299" t="s">
        <v>428</v>
      </c>
      <c r="D299" t="s">
        <v>349</v>
      </c>
      <c r="E299" t="s">
        <v>364</v>
      </c>
      <c r="F299" t="s">
        <v>373</v>
      </c>
      <c r="G299">
        <v>3</v>
      </c>
      <c r="H299">
        <v>8297.1200000000008</v>
      </c>
      <c r="I299">
        <v>24891.360000000001</v>
      </c>
      <c r="J299" t="s">
        <v>377</v>
      </c>
      <c r="K299" t="s">
        <v>387</v>
      </c>
      <c r="L299" t="s">
        <v>391</v>
      </c>
    </row>
    <row r="300" spans="1:12" x14ac:dyDescent="0.3">
      <c r="A300" t="s">
        <v>310</v>
      </c>
      <c r="B300" s="3">
        <v>46228</v>
      </c>
      <c r="C300" t="s">
        <v>414</v>
      </c>
      <c r="D300" t="s">
        <v>335</v>
      </c>
      <c r="E300" t="s">
        <v>362</v>
      </c>
      <c r="F300" t="s">
        <v>372</v>
      </c>
      <c r="G300">
        <v>4</v>
      </c>
      <c r="H300">
        <v>2185.04</v>
      </c>
      <c r="I300">
        <v>8740.16</v>
      </c>
      <c r="J300" t="s">
        <v>376</v>
      </c>
      <c r="K300" t="s">
        <v>387</v>
      </c>
      <c r="L300" t="s">
        <v>390</v>
      </c>
    </row>
    <row r="301" spans="1:12" x14ac:dyDescent="0.3">
      <c r="A301" t="s">
        <v>311</v>
      </c>
      <c r="B301" s="3">
        <v>46079</v>
      </c>
      <c r="C301" t="s">
        <v>412</v>
      </c>
      <c r="D301" t="s">
        <v>333</v>
      </c>
      <c r="E301" t="s">
        <v>366</v>
      </c>
      <c r="F301" t="s">
        <v>373</v>
      </c>
      <c r="G301">
        <v>1</v>
      </c>
      <c r="H301">
        <v>12150.06</v>
      </c>
      <c r="I301">
        <v>12150.06</v>
      </c>
      <c r="J301" t="s">
        <v>377</v>
      </c>
      <c r="K301" t="s">
        <v>386</v>
      </c>
      <c r="L301" t="s">
        <v>391</v>
      </c>
    </row>
  </sheetData>
  <autoFilter ref="L1:L3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opLeftCell="B1" workbookViewId="0">
      <selection activeCell="D1" sqref="D1:D1048576"/>
    </sheetView>
  </sheetViews>
  <sheetFormatPr defaultRowHeight="14.4" x14ac:dyDescent="0.3"/>
  <cols>
    <col min="1" max="1" width="8.6640625" bestFit="1" customWidth="1"/>
    <col min="2" max="2" width="16.77734375" style="3" bestFit="1" customWidth="1"/>
    <col min="3" max="3" width="11.88671875" bestFit="1" customWidth="1"/>
    <col min="4" max="4" width="16.109375" customWidth="1"/>
    <col min="5" max="5" width="15.21875" bestFit="1" customWidth="1"/>
    <col min="6" max="6" width="21" bestFit="1" customWidth="1"/>
    <col min="7" max="7" width="13.77734375" bestFit="1" customWidth="1"/>
    <col min="8" max="8" width="10.44140625" bestFit="1" customWidth="1"/>
    <col min="9" max="9" width="8.33203125" bestFit="1" customWidth="1"/>
    <col min="10" max="10" width="9.6640625" bestFit="1" customWidth="1"/>
    <col min="11" max="11" width="13.21875" bestFit="1" customWidth="1"/>
    <col min="12" max="12" width="23.44140625" customWidth="1"/>
    <col min="13" max="13" width="11.77734375" bestFit="1" customWidth="1"/>
    <col min="14" max="14" width="11.77734375" customWidth="1"/>
    <col min="15" max="15" width="16.44140625" bestFit="1" customWidth="1"/>
    <col min="16" max="16" width="22.33203125" bestFit="1" customWidth="1"/>
    <col min="17" max="17" width="12" bestFit="1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410</v>
      </c>
      <c r="E1" s="1" t="s">
        <v>3</v>
      </c>
      <c r="F1" s="1" t="s">
        <v>392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395</v>
      </c>
      <c r="M1" s="1" t="s">
        <v>9</v>
      </c>
      <c r="N1" s="1" t="s">
        <v>393</v>
      </c>
      <c r="O1" s="1" t="s">
        <v>10</v>
      </c>
      <c r="P1" s="1" t="s">
        <v>394</v>
      </c>
      <c r="Q1" s="1" t="s">
        <v>11</v>
      </c>
      <c r="R1" s="6" t="s">
        <v>409</v>
      </c>
    </row>
    <row r="2" spans="1:18" x14ac:dyDescent="0.3">
      <c r="A2" t="s">
        <v>12</v>
      </c>
      <c r="B2" s="3">
        <v>46093</v>
      </c>
      <c r="C2" t="s">
        <v>312</v>
      </c>
      <c r="D2" t="s">
        <v>411</v>
      </c>
      <c r="E2" t="s">
        <v>332</v>
      </c>
      <c r="F2" t="str">
        <f>TRIM(E2)</f>
        <v>Neha Pawar</v>
      </c>
      <c r="G2" t="s">
        <v>354</v>
      </c>
      <c r="H2" t="s">
        <v>369</v>
      </c>
      <c r="I2">
        <v>1</v>
      </c>
      <c r="J2">
        <v>1629</v>
      </c>
      <c r="K2">
        <v>1629</v>
      </c>
      <c r="L2">
        <f>I2*J2</f>
        <v>1629</v>
      </c>
      <c r="M2" t="s">
        <v>374</v>
      </c>
      <c r="N2" t="str">
        <f>PROPER(M2)</f>
        <v>Nashik</v>
      </c>
      <c r="O2" t="s">
        <v>383</v>
      </c>
      <c r="P2" t="str">
        <f>TRIM(O2)</f>
        <v>UPI</v>
      </c>
      <c r="Q2" t="s">
        <v>389</v>
      </c>
      <c r="R2">
        <f>COUNTIFS($C:$C,C2,$E:$E,E2)</f>
        <v>2</v>
      </c>
    </row>
    <row r="3" spans="1:18" x14ac:dyDescent="0.3">
      <c r="A3" t="s">
        <v>13</v>
      </c>
      <c r="B3" s="3">
        <v>46131</v>
      </c>
      <c r="C3" t="s">
        <v>313</v>
      </c>
      <c r="D3" t="s">
        <v>412</v>
      </c>
      <c r="E3" t="s">
        <v>333</v>
      </c>
      <c r="F3" t="str">
        <f t="shared" ref="F3:F66" si="0">TRIM(E3)</f>
        <v>Aarav Sharma</v>
      </c>
      <c r="G3" t="s">
        <v>355</v>
      </c>
      <c r="H3" t="s">
        <v>369</v>
      </c>
      <c r="I3">
        <v>5</v>
      </c>
      <c r="J3">
        <v>642.16999999999996</v>
      </c>
      <c r="K3">
        <v>3210.85</v>
      </c>
      <c r="L3">
        <f t="shared" ref="L3:L66" si="1">I3*J3</f>
        <v>3210.85</v>
      </c>
      <c r="M3" t="s">
        <v>375</v>
      </c>
      <c r="N3" t="str">
        <f t="shared" ref="N3:N66" si="2">PROPER(M3)</f>
        <v>Pune</v>
      </c>
      <c r="O3" t="s">
        <v>384</v>
      </c>
      <c r="P3" t="str">
        <f t="shared" ref="P3:P66" si="3">TRIM(O3)</f>
        <v>Credit Card</v>
      </c>
      <c r="Q3" t="s">
        <v>390</v>
      </c>
      <c r="R3">
        <f t="shared" ref="R3:R66" si="4">COUNTIFS($C:$C,C3,$E:$E,E3)</f>
        <v>1</v>
      </c>
    </row>
    <row r="4" spans="1:18" x14ac:dyDescent="0.3">
      <c r="A4" t="s">
        <v>14</v>
      </c>
      <c r="B4" s="3">
        <v>46073</v>
      </c>
      <c r="C4" t="s">
        <v>314</v>
      </c>
      <c r="D4" t="s">
        <v>413</v>
      </c>
      <c r="E4" t="s">
        <v>334</v>
      </c>
      <c r="F4" t="str">
        <f t="shared" si="0"/>
        <v>Riya Desai</v>
      </c>
      <c r="G4" t="s">
        <v>356</v>
      </c>
      <c r="H4" t="s">
        <v>370</v>
      </c>
      <c r="I4">
        <v>5</v>
      </c>
      <c r="J4">
        <v>108.64</v>
      </c>
      <c r="K4">
        <v>543.20000000000005</v>
      </c>
      <c r="L4">
        <f t="shared" si="1"/>
        <v>543.20000000000005</v>
      </c>
      <c r="M4" t="s">
        <v>376</v>
      </c>
      <c r="N4" t="str">
        <f t="shared" si="2"/>
        <v>Nagpur</v>
      </c>
      <c r="O4" t="s">
        <v>385</v>
      </c>
      <c r="P4" t="str">
        <f t="shared" si="3"/>
        <v>Cash</v>
      </c>
      <c r="Q4" t="s">
        <v>391</v>
      </c>
      <c r="R4">
        <f t="shared" si="4"/>
        <v>2</v>
      </c>
    </row>
    <row r="5" spans="1:18" x14ac:dyDescent="0.3">
      <c r="A5" t="s">
        <v>15</v>
      </c>
      <c r="B5" s="3">
        <v>46063</v>
      </c>
      <c r="C5" t="s">
        <v>315</v>
      </c>
      <c r="D5" t="s">
        <v>414</v>
      </c>
      <c r="E5" t="s">
        <v>335</v>
      </c>
      <c r="F5" t="str">
        <f t="shared" si="0"/>
        <v>Karan Mehta</v>
      </c>
      <c r="G5" t="s">
        <v>357</v>
      </c>
      <c r="H5" t="s">
        <v>371</v>
      </c>
      <c r="I5">
        <v>1</v>
      </c>
      <c r="J5">
        <v>946.59</v>
      </c>
      <c r="K5">
        <v>946.59</v>
      </c>
      <c r="L5">
        <f t="shared" si="1"/>
        <v>946.59</v>
      </c>
      <c r="M5" t="s">
        <v>377</v>
      </c>
      <c r="N5" t="str">
        <f t="shared" si="2"/>
        <v>Aurangabad</v>
      </c>
      <c r="O5" t="s">
        <v>384</v>
      </c>
      <c r="P5" t="str">
        <f t="shared" si="3"/>
        <v>Credit Card</v>
      </c>
      <c r="Q5" t="s">
        <v>390</v>
      </c>
      <c r="R5">
        <f t="shared" si="4"/>
        <v>1</v>
      </c>
    </row>
    <row r="6" spans="1:18" x14ac:dyDescent="0.3">
      <c r="A6" t="s">
        <v>16</v>
      </c>
      <c r="B6" s="3">
        <v>46120</v>
      </c>
      <c r="C6" t="s">
        <v>316</v>
      </c>
      <c r="D6" t="s">
        <v>415</v>
      </c>
      <c r="E6" t="s">
        <v>336</v>
      </c>
      <c r="F6" t="str">
        <f t="shared" si="0"/>
        <v>Isha Gupta</v>
      </c>
      <c r="G6" t="s">
        <v>358</v>
      </c>
      <c r="H6" t="s">
        <v>372</v>
      </c>
      <c r="I6">
        <v>3</v>
      </c>
      <c r="J6">
        <v>2945.41</v>
      </c>
      <c r="K6">
        <v>8836.23</v>
      </c>
      <c r="L6">
        <f t="shared" si="1"/>
        <v>8836.23</v>
      </c>
      <c r="M6" t="s">
        <v>378</v>
      </c>
      <c r="N6" t="str">
        <f t="shared" si="2"/>
        <v>Thane</v>
      </c>
      <c r="O6" t="s">
        <v>386</v>
      </c>
      <c r="P6" t="str">
        <f t="shared" si="3"/>
        <v>Net Banking</v>
      </c>
      <c r="Q6" t="s">
        <v>390</v>
      </c>
      <c r="R6">
        <f t="shared" si="4"/>
        <v>1</v>
      </c>
    </row>
    <row r="7" spans="1:18" x14ac:dyDescent="0.3">
      <c r="A7" t="s">
        <v>17</v>
      </c>
      <c r="B7" s="3">
        <v>46160</v>
      </c>
      <c r="C7" t="s">
        <v>316</v>
      </c>
      <c r="D7" t="s">
        <v>416</v>
      </c>
      <c r="E7" t="s">
        <v>337</v>
      </c>
      <c r="F7" t="str">
        <f t="shared" si="0"/>
        <v>Siddharth Patil</v>
      </c>
      <c r="G7" t="s">
        <v>358</v>
      </c>
      <c r="H7" t="s">
        <v>372</v>
      </c>
      <c r="I7">
        <v>1</v>
      </c>
      <c r="J7">
        <v>3347.03</v>
      </c>
      <c r="K7">
        <v>3347.03</v>
      </c>
      <c r="L7">
        <f t="shared" si="1"/>
        <v>3347.03</v>
      </c>
      <c r="M7" t="s">
        <v>375</v>
      </c>
      <c r="N7" t="str">
        <f t="shared" si="2"/>
        <v>Pune</v>
      </c>
      <c r="O7" t="s">
        <v>386</v>
      </c>
      <c r="P7" t="str">
        <f t="shared" si="3"/>
        <v>Net Banking</v>
      </c>
      <c r="Q7" t="s">
        <v>390</v>
      </c>
      <c r="R7">
        <f t="shared" si="4"/>
        <v>2</v>
      </c>
    </row>
    <row r="8" spans="1:18" x14ac:dyDescent="0.3">
      <c r="A8" t="s">
        <v>18</v>
      </c>
      <c r="B8" s="3">
        <v>46115</v>
      </c>
      <c r="C8" t="s">
        <v>317</v>
      </c>
      <c r="D8" t="s">
        <v>417</v>
      </c>
      <c r="E8" t="s">
        <v>338</v>
      </c>
      <c r="F8" t="str">
        <f t="shared" si="0"/>
        <v>Aditya More</v>
      </c>
      <c r="G8" t="s">
        <v>359</v>
      </c>
      <c r="H8" t="s">
        <v>372</v>
      </c>
      <c r="I8">
        <v>5</v>
      </c>
      <c r="J8">
        <v>969.38</v>
      </c>
      <c r="K8">
        <v>4846.8999999999996</v>
      </c>
      <c r="L8">
        <f t="shared" si="1"/>
        <v>4846.8999999999996</v>
      </c>
      <c r="M8" t="s">
        <v>375</v>
      </c>
      <c r="N8" t="str">
        <f t="shared" si="2"/>
        <v>Pune</v>
      </c>
      <c r="O8" t="s">
        <v>383</v>
      </c>
      <c r="P8" t="str">
        <f t="shared" si="3"/>
        <v>UPI</v>
      </c>
      <c r="Q8" t="s">
        <v>389</v>
      </c>
      <c r="R8">
        <f t="shared" si="4"/>
        <v>2</v>
      </c>
    </row>
    <row r="9" spans="1:18" x14ac:dyDescent="0.3">
      <c r="A9" t="s">
        <v>19</v>
      </c>
      <c r="B9" s="3">
        <v>46241</v>
      </c>
      <c r="C9" t="s">
        <v>312</v>
      </c>
      <c r="D9" t="s">
        <v>418</v>
      </c>
      <c r="E9" t="s">
        <v>339</v>
      </c>
      <c r="F9" t="str">
        <f t="shared" si="0"/>
        <v>Sneha Kulkarni</v>
      </c>
      <c r="G9" t="s">
        <v>360</v>
      </c>
      <c r="H9" t="s">
        <v>371</v>
      </c>
      <c r="I9">
        <v>3</v>
      </c>
      <c r="J9">
        <v>1974.68</v>
      </c>
      <c r="K9">
        <v>5924.04</v>
      </c>
      <c r="L9">
        <f t="shared" si="1"/>
        <v>5924.04</v>
      </c>
      <c r="M9" t="s">
        <v>379</v>
      </c>
      <c r="N9" t="str">
        <f t="shared" si="2"/>
        <v>Navi Mumbai</v>
      </c>
      <c r="O9" t="s">
        <v>387</v>
      </c>
      <c r="P9" t="str">
        <f t="shared" si="3"/>
        <v>Debit Card</v>
      </c>
      <c r="Q9" t="s">
        <v>390</v>
      </c>
      <c r="R9">
        <f t="shared" si="4"/>
        <v>1</v>
      </c>
    </row>
    <row r="10" spans="1:18" x14ac:dyDescent="0.3">
      <c r="A10" t="s">
        <v>20</v>
      </c>
      <c r="B10" s="3">
        <v>46113</v>
      </c>
      <c r="C10" t="s">
        <v>318</v>
      </c>
      <c r="D10" t="s">
        <v>419</v>
      </c>
      <c r="E10" t="s">
        <v>340</v>
      </c>
      <c r="F10" t="str">
        <f t="shared" si="0"/>
        <v>Rahul Jadhav</v>
      </c>
      <c r="G10" t="s">
        <v>354</v>
      </c>
      <c r="H10" t="s">
        <v>369</v>
      </c>
      <c r="I10">
        <v>3</v>
      </c>
      <c r="J10">
        <v>1678.56</v>
      </c>
      <c r="K10">
        <v>5035.68</v>
      </c>
      <c r="L10">
        <f t="shared" si="1"/>
        <v>5035.68</v>
      </c>
      <c r="M10" t="s">
        <v>375</v>
      </c>
      <c r="N10" t="str">
        <f t="shared" si="2"/>
        <v>Pune</v>
      </c>
      <c r="O10" t="s">
        <v>386</v>
      </c>
      <c r="P10" t="str">
        <f t="shared" si="3"/>
        <v>Net Banking</v>
      </c>
      <c r="Q10" t="s">
        <v>389</v>
      </c>
      <c r="R10">
        <f t="shared" si="4"/>
        <v>1</v>
      </c>
    </row>
    <row r="11" spans="1:18" x14ac:dyDescent="0.3">
      <c r="A11" t="s">
        <v>21</v>
      </c>
      <c r="B11" s="3">
        <v>46064</v>
      </c>
      <c r="C11" t="s">
        <v>319</v>
      </c>
      <c r="D11" t="s">
        <v>416</v>
      </c>
      <c r="E11" t="s">
        <v>337</v>
      </c>
      <c r="F11" t="str">
        <f t="shared" si="0"/>
        <v>Siddharth Patil</v>
      </c>
      <c r="G11" t="s">
        <v>361</v>
      </c>
      <c r="H11" t="s">
        <v>371</v>
      </c>
      <c r="I11">
        <v>5</v>
      </c>
      <c r="J11">
        <v>2614.56</v>
      </c>
      <c r="K11">
        <v>13072.8</v>
      </c>
      <c r="L11">
        <f t="shared" si="1"/>
        <v>13072.8</v>
      </c>
      <c r="M11" t="s">
        <v>377</v>
      </c>
      <c r="N11" t="str">
        <f t="shared" si="2"/>
        <v>Aurangabad</v>
      </c>
      <c r="O11" t="s">
        <v>386</v>
      </c>
      <c r="P11" t="str">
        <f t="shared" si="3"/>
        <v>Net Banking</v>
      </c>
      <c r="Q11" t="s">
        <v>390</v>
      </c>
      <c r="R11">
        <f t="shared" si="4"/>
        <v>1</v>
      </c>
    </row>
    <row r="12" spans="1:18" x14ac:dyDescent="0.3">
      <c r="A12" t="s">
        <v>22</v>
      </c>
      <c r="B12" s="3">
        <v>46221</v>
      </c>
      <c r="C12" t="s">
        <v>313</v>
      </c>
      <c r="D12" t="s">
        <v>411</v>
      </c>
      <c r="E12" t="s">
        <v>332</v>
      </c>
      <c r="F12" t="str">
        <f t="shared" si="0"/>
        <v>Neha Pawar</v>
      </c>
      <c r="G12" t="s">
        <v>354</v>
      </c>
      <c r="H12" t="s">
        <v>369</v>
      </c>
      <c r="I12">
        <v>3</v>
      </c>
      <c r="J12">
        <v>1923.43</v>
      </c>
      <c r="K12">
        <v>5770.29</v>
      </c>
      <c r="L12">
        <f t="shared" si="1"/>
        <v>5770.29</v>
      </c>
      <c r="M12" t="s">
        <v>380</v>
      </c>
      <c r="N12" t="str">
        <f t="shared" si="2"/>
        <v>Mumbai</v>
      </c>
      <c r="O12" t="s">
        <v>387</v>
      </c>
      <c r="P12" t="str">
        <f t="shared" si="3"/>
        <v>Debit Card</v>
      </c>
      <c r="Q12" t="s">
        <v>390</v>
      </c>
      <c r="R12">
        <f t="shared" si="4"/>
        <v>1</v>
      </c>
    </row>
    <row r="13" spans="1:18" x14ac:dyDescent="0.3">
      <c r="A13" t="s">
        <v>23</v>
      </c>
      <c r="B13" s="3">
        <v>46264</v>
      </c>
      <c r="C13" t="s">
        <v>317</v>
      </c>
      <c r="D13" t="s">
        <v>414</v>
      </c>
      <c r="E13" t="s">
        <v>335</v>
      </c>
      <c r="F13" t="str">
        <f t="shared" si="0"/>
        <v>Karan Mehta</v>
      </c>
      <c r="G13" t="s">
        <v>357</v>
      </c>
      <c r="H13" t="s">
        <v>371</v>
      </c>
      <c r="I13">
        <v>1</v>
      </c>
      <c r="J13">
        <v>847.98</v>
      </c>
      <c r="K13">
        <v>847.98</v>
      </c>
      <c r="L13">
        <f t="shared" si="1"/>
        <v>847.98</v>
      </c>
      <c r="M13" t="s">
        <v>376</v>
      </c>
      <c r="N13" t="str">
        <f t="shared" si="2"/>
        <v>Nagpur</v>
      </c>
      <c r="O13" t="s">
        <v>385</v>
      </c>
      <c r="P13" t="str">
        <f t="shared" si="3"/>
        <v>Cash</v>
      </c>
      <c r="Q13" t="s">
        <v>390</v>
      </c>
      <c r="R13">
        <f t="shared" si="4"/>
        <v>1</v>
      </c>
    </row>
    <row r="14" spans="1:18" x14ac:dyDescent="0.3">
      <c r="A14" t="s">
        <v>24</v>
      </c>
      <c r="B14" s="3">
        <v>46058</v>
      </c>
      <c r="C14" t="s">
        <v>312</v>
      </c>
      <c r="D14" t="s">
        <v>420</v>
      </c>
      <c r="E14" t="s">
        <v>341</v>
      </c>
      <c r="F14" t="str">
        <f t="shared" si="0"/>
        <v>Kavya Joshi</v>
      </c>
      <c r="G14" t="s">
        <v>362</v>
      </c>
      <c r="H14" t="s">
        <v>372</v>
      </c>
      <c r="I14">
        <v>4</v>
      </c>
      <c r="J14">
        <v>2042.86</v>
      </c>
      <c r="K14">
        <v>8171.44</v>
      </c>
      <c r="L14">
        <f t="shared" si="1"/>
        <v>8171.44</v>
      </c>
      <c r="M14" t="s">
        <v>377</v>
      </c>
      <c r="N14" t="str">
        <f t="shared" si="2"/>
        <v>Aurangabad</v>
      </c>
      <c r="O14" t="s">
        <v>386</v>
      </c>
      <c r="P14" t="str">
        <f t="shared" si="3"/>
        <v>Net Banking</v>
      </c>
      <c r="Q14" t="s">
        <v>390</v>
      </c>
      <c r="R14">
        <f t="shared" si="4"/>
        <v>1</v>
      </c>
    </row>
    <row r="15" spans="1:18" x14ac:dyDescent="0.3">
      <c r="A15" t="s">
        <v>25</v>
      </c>
      <c r="B15" s="3">
        <v>46079</v>
      </c>
      <c r="C15" t="s">
        <v>320</v>
      </c>
      <c r="D15" t="s">
        <v>421</v>
      </c>
      <c r="E15" t="s">
        <v>342</v>
      </c>
      <c r="F15" t="str">
        <f t="shared" si="0"/>
        <v>Nikhil Pawar</v>
      </c>
      <c r="G15" t="s">
        <v>362</v>
      </c>
      <c r="H15" t="s">
        <v>372</v>
      </c>
      <c r="I15">
        <v>5</v>
      </c>
      <c r="J15">
        <v>2155.7399999999998</v>
      </c>
      <c r="K15">
        <v>10778.7</v>
      </c>
      <c r="L15">
        <f t="shared" si="1"/>
        <v>10778.699999999999</v>
      </c>
      <c r="M15" t="s">
        <v>381</v>
      </c>
      <c r="N15" t="str">
        <f t="shared" si="2"/>
        <v>Kolhapur</v>
      </c>
      <c r="O15" t="s">
        <v>383</v>
      </c>
      <c r="P15" t="str">
        <f t="shared" si="3"/>
        <v>UPI</v>
      </c>
      <c r="Q15" t="s">
        <v>390</v>
      </c>
      <c r="R15">
        <f t="shared" si="4"/>
        <v>2</v>
      </c>
    </row>
    <row r="16" spans="1:18" x14ac:dyDescent="0.3">
      <c r="A16" t="s">
        <v>26</v>
      </c>
      <c r="B16" s="3">
        <v>46063</v>
      </c>
      <c r="C16" t="s">
        <v>315</v>
      </c>
      <c r="D16" t="s">
        <v>422</v>
      </c>
      <c r="E16" t="s">
        <v>343</v>
      </c>
      <c r="F16" t="str">
        <f t="shared" si="0"/>
        <v>Tanvi Shah</v>
      </c>
      <c r="G16" t="s">
        <v>359</v>
      </c>
      <c r="H16" t="s">
        <v>372</v>
      </c>
      <c r="I16">
        <v>1</v>
      </c>
      <c r="J16">
        <v>837.51</v>
      </c>
      <c r="K16">
        <v>837.51</v>
      </c>
      <c r="L16">
        <f t="shared" si="1"/>
        <v>837.51</v>
      </c>
      <c r="M16" t="s">
        <v>375</v>
      </c>
      <c r="N16" t="str">
        <f t="shared" si="2"/>
        <v>Pune</v>
      </c>
      <c r="O16" t="s">
        <v>385</v>
      </c>
      <c r="P16" t="str">
        <f t="shared" si="3"/>
        <v>Cash</v>
      </c>
      <c r="Q16" t="s">
        <v>390</v>
      </c>
      <c r="R16">
        <f t="shared" si="4"/>
        <v>2</v>
      </c>
    </row>
    <row r="17" spans="1:18" x14ac:dyDescent="0.3">
      <c r="A17" t="s">
        <v>27</v>
      </c>
      <c r="B17" s="3">
        <v>46164</v>
      </c>
      <c r="C17" t="s">
        <v>321</v>
      </c>
      <c r="D17" t="s">
        <v>423</v>
      </c>
      <c r="E17" t="s">
        <v>344</v>
      </c>
      <c r="F17" t="str">
        <f t="shared" si="0"/>
        <v>Sneha Kulkarni</v>
      </c>
      <c r="G17" t="s">
        <v>363</v>
      </c>
      <c r="H17" t="s">
        <v>370</v>
      </c>
      <c r="I17">
        <v>4</v>
      </c>
      <c r="J17">
        <v>251.46</v>
      </c>
      <c r="K17">
        <v>1005.84</v>
      </c>
      <c r="L17">
        <f t="shared" si="1"/>
        <v>1005.84</v>
      </c>
      <c r="M17" t="s">
        <v>377</v>
      </c>
      <c r="N17" t="str">
        <f t="shared" si="2"/>
        <v>Aurangabad</v>
      </c>
      <c r="O17" t="s">
        <v>387</v>
      </c>
      <c r="P17" t="str">
        <f t="shared" si="3"/>
        <v>Debit Card</v>
      </c>
      <c r="Q17" t="s">
        <v>390</v>
      </c>
      <c r="R17">
        <f t="shared" si="4"/>
        <v>1</v>
      </c>
    </row>
    <row r="18" spans="1:18" x14ac:dyDescent="0.3">
      <c r="A18" t="s">
        <v>28</v>
      </c>
      <c r="B18" s="3">
        <v>46023</v>
      </c>
      <c r="C18" t="s">
        <v>322</v>
      </c>
      <c r="D18" t="s">
        <v>421</v>
      </c>
      <c r="E18" t="s">
        <v>342</v>
      </c>
      <c r="F18" t="str">
        <f t="shared" si="0"/>
        <v>Nikhil Pawar</v>
      </c>
      <c r="G18" t="s">
        <v>357</v>
      </c>
      <c r="H18" t="s">
        <v>371</v>
      </c>
      <c r="I18">
        <v>4</v>
      </c>
      <c r="J18">
        <v>838.47</v>
      </c>
      <c r="K18">
        <v>3353.88</v>
      </c>
      <c r="L18">
        <f t="shared" si="1"/>
        <v>3353.88</v>
      </c>
      <c r="M18" t="s">
        <v>374</v>
      </c>
      <c r="N18" t="str">
        <f t="shared" si="2"/>
        <v>Nashik</v>
      </c>
      <c r="O18" t="s">
        <v>386</v>
      </c>
      <c r="P18" t="str">
        <f t="shared" si="3"/>
        <v>Net Banking</v>
      </c>
      <c r="Q18" t="s">
        <v>390</v>
      </c>
      <c r="R18">
        <f t="shared" si="4"/>
        <v>3</v>
      </c>
    </row>
    <row r="19" spans="1:18" x14ac:dyDescent="0.3">
      <c r="A19" t="s">
        <v>29</v>
      </c>
      <c r="B19" s="3">
        <v>46152</v>
      </c>
      <c r="C19" t="s">
        <v>323</v>
      </c>
      <c r="D19" t="s">
        <v>417</v>
      </c>
      <c r="E19" t="s">
        <v>338</v>
      </c>
      <c r="F19" t="str">
        <f t="shared" si="0"/>
        <v>Aditya More</v>
      </c>
      <c r="G19" t="s">
        <v>359</v>
      </c>
      <c r="H19" t="s">
        <v>372</v>
      </c>
      <c r="I19">
        <v>3</v>
      </c>
      <c r="J19">
        <v>961.5</v>
      </c>
      <c r="K19">
        <v>2884.5</v>
      </c>
      <c r="L19">
        <f t="shared" si="1"/>
        <v>2884.5</v>
      </c>
      <c r="M19" t="s">
        <v>374</v>
      </c>
      <c r="N19" t="str">
        <f t="shared" si="2"/>
        <v>Nashik</v>
      </c>
      <c r="O19" t="s">
        <v>387</v>
      </c>
      <c r="P19" t="str">
        <f t="shared" si="3"/>
        <v>Debit Card</v>
      </c>
      <c r="Q19" t="s">
        <v>390</v>
      </c>
      <c r="R19">
        <f t="shared" si="4"/>
        <v>2</v>
      </c>
    </row>
    <row r="20" spans="1:18" x14ac:dyDescent="0.3">
      <c r="A20" t="s">
        <v>30</v>
      </c>
      <c r="B20" s="3">
        <v>46176</v>
      </c>
      <c r="C20" t="s">
        <v>324</v>
      </c>
      <c r="D20" t="s">
        <v>424</v>
      </c>
      <c r="E20" t="s">
        <v>345</v>
      </c>
      <c r="F20" t="str">
        <f t="shared" si="0"/>
        <v>Mansi Kulkarni</v>
      </c>
      <c r="G20" t="s">
        <v>356</v>
      </c>
      <c r="H20" t="s">
        <v>370</v>
      </c>
      <c r="I20">
        <v>5</v>
      </c>
      <c r="J20">
        <v>130.04</v>
      </c>
      <c r="K20">
        <v>650.20000000000005</v>
      </c>
      <c r="L20">
        <f t="shared" si="1"/>
        <v>650.19999999999993</v>
      </c>
      <c r="M20" t="s">
        <v>380</v>
      </c>
      <c r="N20" t="str">
        <f t="shared" si="2"/>
        <v>Mumbai</v>
      </c>
      <c r="O20" t="s">
        <v>383</v>
      </c>
      <c r="P20" t="str">
        <f t="shared" si="3"/>
        <v>UPI</v>
      </c>
      <c r="Q20" t="s">
        <v>390</v>
      </c>
      <c r="R20">
        <f t="shared" si="4"/>
        <v>1</v>
      </c>
    </row>
    <row r="21" spans="1:18" x14ac:dyDescent="0.3">
      <c r="A21" t="s">
        <v>31</v>
      </c>
      <c r="B21" s="3">
        <v>46084</v>
      </c>
      <c r="C21" t="s">
        <v>317</v>
      </c>
      <c r="D21" t="s">
        <v>425</v>
      </c>
      <c r="E21" t="s">
        <v>346</v>
      </c>
      <c r="F21" t="str">
        <f t="shared" si="0"/>
        <v>Rohan Deshmukh</v>
      </c>
      <c r="G21" t="s">
        <v>362</v>
      </c>
      <c r="H21" t="s">
        <v>372</v>
      </c>
      <c r="I21">
        <v>3</v>
      </c>
      <c r="J21">
        <v>2085.36</v>
      </c>
      <c r="K21">
        <v>6256.08</v>
      </c>
      <c r="L21">
        <f t="shared" si="1"/>
        <v>6256.08</v>
      </c>
      <c r="M21" t="s">
        <v>375</v>
      </c>
      <c r="N21" t="str">
        <f t="shared" si="2"/>
        <v>Pune</v>
      </c>
      <c r="O21" t="s">
        <v>385</v>
      </c>
      <c r="P21" t="str">
        <f t="shared" si="3"/>
        <v>Cash</v>
      </c>
      <c r="Q21" t="s">
        <v>390</v>
      </c>
      <c r="R21">
        <f t="shared" si="4"/>
        <v>1</v>
      </c>
    </row>
    <row r="22" spans="1:18" x14ac:dyDescent="0.3">
      <c r="A22" t="s">
        <v>32</v>
      </c>
      <c r="B22" s="3">
        <v>46055</v>
      </c>
      <c r="C22" t="s">
        <v>325</v>
      </c>
      <c r="D22" t="s">
        <v>420</v>
      </c>
      <c r="E22" t="s">
        <v>341</v>
      </c>
      <c r="F22" t="str">
        <f t="shared" si="0"/>
        <v>Kavya Joshi</v>
      </c>
      <c r="G22" t="s">
        <v>358</v>
      </c>
      <c r="H22" t="s">
        <v>372</v>
      </c>
      <c r="I22">
        <v>5</v>
      </c>
      <c r="J22">
        <v>3370.13</v>
      </c>
      <c r="K22">
        <v>16850.650000000001</v>
      </c>
      <c r="L22">
        <f t="shared" si="1"/>
        <v>16850.650000000001</v>
      </c>
      <c r="M22" t="s">
        <v>374</v>
      </c>
      <c r="N22" t="str">
        <f t="shared" si="2"/>
        <v>Nashik</v>
      </c>
      <c r="O22" t="s">
        <v>387</v>
      </c>
      <c r="P22" t="str">
        <f t="shared" si="3"/>
        <v>Debit Card</v>
      </c>
      <c r="Q22" t="s">
        <v>391</v>
      </c>
      <c r="R22">
        <f t="shared" si="4"/>
        <v>2</v>
      </c>
    </row>
    <row r="23" spans="1:18" x14ac:dyDescent="0.3">
      <c r="A23" t="s">
        <v>33</v>
      </c>
      <c r="B23" s="3">
        <v>46077</v>
      </c>
      <c r="C23" t="s">
        <v>314</v>
      </c>
      <c r="D23" t="s">
        <v>417</v>
      </c>
      <c r="E23" t="s">
        <v>338</v>
      </c>
      <c r="F23" t="str">
        <f t="shared" si="0"/>
        <v>Aditya More</v>
      </c>
      <c r="G23" t="s">
        <v>359</v>
      </c>
      <c r="H23" t="s">
        <v>372</v>
      </c>
      <c r="I23">
        <v>5</v>
      </c>
      <c r="J23">
        <v>886.16</v>
      </c>
      <c r="K23">
        <v>4430.8</v>
      </c>
      <c r="L23">
        <f t="shared" si="1"/>
        <v>4430.8</v>
      </c>
      <c r="M23" t="s">
        <v>377</v>
      </c>
      <c r="N23" t="str">
        <f t="shared" si="2"/>
        <v>Aurangabad</v>
      </c>
      <c r="O23" t="s">
        <v>385</v>
      </c>
      <c r="P23" t="str">
        <f t="shared" si="3"/>
        <v>Cash</v>
      </c>
      <c r="Q23" t="s">
        <v>389</v>
      </c>
      <c r="R23">
        <f t="shared" si="4"/>
        <v>3</v>
      </c>
    </row>
    <row r="24" spans="1:18" x14ac:dyDescent="0.3">
      <c r="A24" t="s">
        <v>34</v>
      </c>
      <c r="B24" s="3">
        <v>46155</v>
      </c>
      <c r="C24" t="s">
        <v>319</v>
      </c>
      <c r="D24" t="s">
        <v>423</v>
      </c>
      <c r="E24" t="s">
        <v>344</v>
      </c>
      <c r="F24" t="str">
        <f t="shared" si="0"/>
        <v>Sneha Kulkarni</v>
      </c>
      <c r="G24" t="s">
        <v>354</v>
      </c>
      <c r="H24" t="s">
        <v>369</v>
      </c>
      <c r="I24">
        <v>3</v>
      </c>
      <c r="J24">
        <v>1777.72</v>
      </c>
      <c r="K24">
        <v>5333.16</v>
      </c>
      <c r="L24">
        <f t="shared" si="1"/>
        <v>5333.16</v>
      </c>
      <c r="M24" t="s">
        <v>376</v>
      </c>
      <c r="N24" t="str">
        <f t="shared" si="2"/>
        <v>Nagpur</v>
      </c>
      <c r="O24" t="s">
        <v>384</v>
      </c>
      <c r="P24" t="str">
        <f t="shared" si="3"/>
        <v>Credit Card</v>
      </c>
      <c r="Q24" t="s">
        <v>390</v>
      </c>
      <c r="R24">
        <f t="shared" si="4"/>
        <v>3</v>
      </c>
    </row>
    <row r="25" spans="1:18" x14ac:dyDescent="0.3">
      <c r="A25" t="s">
        <v>35</v>
      </c>
      <c r="B25" s="3">
        <v>46081</v>
      </c>
      <c r="C25" t="s">
        <v>317</v>
      </c>
      <c r="D25" t="s">
        <v>411</v>
      </c>
      <c r="E25" t="s">
        <v>332</v>
      </c>
      <c r="F25" t="str">
        <f t="shared" si="0"/>
        <v>Neha Pawar</v>
      </c>
      <c r="G25" t="s">
        <v>364</v>
      </c>
      <c r="H25" t="s">
        <v>373</v>
      </c>
      <c r="I25">
        <v>1</v>
      </c>
      <c r="J25">
        <v>8650.1200000000008</v>
      </c>
      <c r="K25">
        <v>8650.1200000000008</v>
      </c>
      <c r="L25">
        <f t="shared" si="1"/>
        <v>8650.1200000000008</v>
      </c>
      <c r="M25" t="s">
        <v>380</v>
      </c>
      <c r="N25" t="str">
        <f t="shared" si="2"/>
        <v>Mumbai</v>
      </c>
      <c r="O25" t="s">
        <v>383</v>
      </c>
      <c r="P25" t="str">
        <f t="shared" si="3"/>
        <v>UPI</v>
      </c>
      <c r="Q25" t="s">
        <v>389</v>
      </c>
      <c r="R25">
        <f t="shared" si="4"/>
        <v>1</v>
      </c>
    </row>
    <row r="26" spans="1:18" x14ac:dyDescent="0.3">
      <c r="A26" t="s">
        <v>36</v>
      </c>
      <c r="B26" s="3">
        <v>46254</v>
      </c>
      <c r="C26" t="s">
        <v>313</v>
      </c>
      <c r="D26" t="s">
        <v>414</v>
      </c>
      <c r="E26" t="s">
        <v>335</v>
      </c>
      <c r="F26" t="str">
        <f t="shared" si="0"/>
        <v>Karan Mehta</v>
      </c>
      <c r="G26" t="s">
        <v>354</v>
      </c>
      <c r="H26" t="s">
        <v>369</v>
      </c>
      <c r="I26">
        <v>1</v>
      </c>
      <c r="J26">
        <v>1702.42</v>
      </c>
      <c r="K26">
        <v>1702.42</v>
      </c>
      <c r="L26">
        <f t="shared" si="1"/>
        <v>1702.42</v>
      </c>
      <c r="M26" t="s">
        <v>375</v>
      </c>
      <c r="N26" t="str">
        <f t="shared" si="2"/>
        <v>Pune</v>
      </c>
      <c r="O26" t="s">
        <v>386</v>
      </c>
      <c r="P26" t="str">
        <f t="shared" si="3"/>
        <v>Net Banking</v>
      </c>
      <c r="Q26" t="s">
        <v>390</v>
      </c>
      <c r="R26">
        <f t="shared" si="4"/>
        <v>1</v>
      </c>
    </row>
    <row r="27" spans="1:18" x14ac:dyDescent="0.3">
      <c r="A27" t="s">
        <v>37</v>
      </c>
      <c r="B27" s="3">
        <v>46056</v>
      </c>
      <c r="C27" t="s">
        <v>317</v>
      </c>
      <c r="D27" t="s">
        <v>426</v>
      </c>
      <c r="E27" t="s">
        <v>347</v>
      </c>
      <c r="F27" t="str">
        <f t="shared" si="0"/>
        <v>Omkar More</v>
      </c>
      <c r="G27" t="s">
        <v>357</v>
      </c>
      <c r="H27" t="s">
        <v>371</v>
      </c>
      <c r="I27">
        <v>4</v>
      </c>
      <c r="J27">
        <v>848.56</v>
      </c>
      <c r="K27">
        <v>3394.24</v>
      </c>
      <c r="L27">
        <f t="shared" si="1"/>
        <v>3394.24</v>
      </c>
      <c r="M27" t="s">
        <v>382</v>
      </c>
      <c r="N27" t="str">
        <f t="shared" si="2"/>
        <v>Mumbai</v>
      </c>
      <c r="O27" t="s">
        <v>384</v>
      </c>
      <c r="P27" t="str">
        <f t="shared" si="3"/>
        <v>Credit Card</v>
      </c>
      <c r="Q27" t="s">
        <v>390</v>
      </c>
      <c r="R27">
        <f t="shared" si="4"/>
        <v>4</v>
      </c>
    </row>
    <row r="28" spans="1:18" x14ac:dyDescent="0.3">
      <c r="A28" t="s">
        <v>38</v>
      </c>
      <c r="B28" s="3">
        <v>46047</v>
      </c>
      <c r="C28" t="s">
        <v>315</v>
      </c>
      <c r="D28" t="s">
        <v>415</v>
      </c>
      <c r="E28" t="s">
        <v>336</v>
      </c>
      <c r="F28" t="str">
        <f t="shared" si="0"/>
        <v>Isha Gupta</v>
      </c>
      <c r="G28" t="s">
        <v>358</v>
      </c>
      <c r="H28" t="s">
        <v>372</v>
      </c>
      <c r="I28">
        <v>4</v>
      </c>
      <c r="J28">
        <v>3001.86</v>
      </c>
      <c r="K28">
        <v>12007.44</v>
      </c>
      <c r="L28">
        <f t="shared" si="1"/>
        <v>12007.44</v>
      </c>
      <c r="M28" t="s">
        <v>379</v>
      </c>
      <c r="N28" t="str">
        <f t="shared" si="2"/>
        <v>Navi Mumbai</v>
      </c>
      <c r="O28" t="s">
        <v>385</v>
      </c>
      <c r="P28" t="str">
        <f t="shared" si="3"/>
        <v>Cash</v>
      </c>
      <c r="Q28" t="s">
        <v>390</v>
      </c>
      <c r="R28">
        <f t="shared" si="4"/>
        <v>2</v>
      </c>
    </row>
    <row r="29" spans="1:18" x14ac:dyDescent="0.3">
      <c r="A29" t="s">
        <v>39</v>
      </c>
      <c r="B29" s="3">
        <v>46188</v>
      </c>
      <c r="C29" t="s">
        <v>316</v>
      </c>
      <c r="D29" t="s">
        <v>427</v>
      </c>
      <c r="E29" t="s">
        <v>348</v>
      </c>
      <c r="F29" t="str">
        <f t="shared" si="0"/>
        <v>Ananya Patil</v>
      </c>
      <c r="G29" t="s">
        <v>359</v>
      </c>
      <c r="H29" t="s">
        <v>372</v>
      </c>
      <c r="I29">
        <v>1</v>
      </c>
      <c r="J29">
        <v>931.21</v>
      </c>
      <c r="K29">
        <v>931.21</v>
      </c>
      <c r="L29">
        <f t="shared" si="1"/>
        <v>931.21</v>
      </c>
      <c r="M29" t="s">
        <v>379</v>
      </c>
      <c r="N29" t="str">
        <f t="shared" si="2"/>
        <v>Navi Mumbai</v>
      </c>
      <c r="O29" t="s">
        <v>387</v>
      </c>
      <c r="P29" t="str">
        <f t="shared" si="3"/>
        <v>Debit Card</v>
      </c>
      <c r="Q29" t="s">
        <v>390</v>
      </c>
      <c r="R29">
        <f t="shared" si="4"/>
        <v>2</v>
      </c>
    </row>
    <row r="30" spans="1:18" x14ac:dyDescent="0.3">
      <c r="A30" t="s">
        <v>40</v>
      </c>
      <c r="B30" s="3">
        <v>46137</v>
      </c>
      <c r="C30" t="s">
        <v>320</v>
      </c>
      <c r="D30" t="s">
        <v>413</v>
      </c>
      <c r="E30" t="s">
        <v>334</v>
      </c>
      <c r="F30" t="str">
        <f t="shared" si="0"/>
        <v>Riya Desai</v>
      </c>
      <c r="G30" t="s">
        <v>360</v>
      </c>
      <c r="H30" t="s">
        <v>371</v>
      </c>
      <c r="I30">
        <v>2</v>
      </c>
      <c r="J30">
        <v>1688.48</v>
      </c>
      <c r="K30">
        <v>3376.96</v>
      </c>
      <c r="L30">
        <f t="shared" si="1"/>
        <v>3376.96</v>
      </c>
      <c r="M30" t="s">
        <v>374</v>
      </c>
      <c r="N30" t="str">
        <f t="shared" si="2"/>
        <v>Nashik</v>
      </c>
      <c r="O30" t="s">
        <v>387</v>
      </c>
      <c r="P30" t="str">
        <f t="shared" si="3"/>
        <v>Debit Card</v>
      </c>
      <c r="Q30" t="s">
        <v>390</v>
      </c>
      <c r="R30">
        <f t="shared" si="4"/>
        <v>3</v>
      </c>
    </row>
    <row r="31" spans="1:18" x14ac:dyDescent="0.3">
      <c r="A31" t="s">
        <v>41</v>
      </c>
      <c r="B31" s="3">
        <v>46243</v>
      </c>
      <c r="C31" t="s">
        <v>314</v>
      </c>
      <c r="D31" t="s">
        <v>423</v>
      </c>
      <c r="E31" t="s">
        <v>344</v>
      </c>
      <c r="F31" t="str">
        <f t="shared" si="0"/>
        <v>Sneha Kulkarni</v>
      </c>
      <c r="G31" t="s">
        <v>360</v>
      </c>
      <c r="H31" t="s">
        <v>371</v>
      </c>
      <c r="I31">
        <v>1</v>
      </c>
      <c r="J31">
        <v>1779.53</v>
      </c>
      <c r="K31">
        <v>1779.53</v>
      </c>
      <c r="L31">
        <f t="shared" si="1"/>
        <v>1779.53</v>
      </c>
      <c r="M31" t="s">
        <v>380</v>
      </c>
      <c r="N31" t="str">
        <f t="shared" si="2"/>
        <v>Mumbai</v>
      </c>
      <c r="O31" t="s">
        <v>386</v>
      </c>
      <c r="P31" t="str">
        <f t="shared" si="3"/>
        <v>Net Banking</v>
      </c>
      <c r="Q31" t="s">
        <v>390</v>
      </c>
      <c r="R31">
        <f t="shared" si="4"/>
        <v>1</v>
      </c>
    </row>
    <row r="32" spans="1:18" x14ac:dyDescent="0.3">
      <c r="A32" t="s">
        <v>42</v>
      </c>
      <c r="B32" s="3">
        <v>46147</v>
      </c>
      <c r="C32" t="s">
        <v>325</v>
      </c>
      <c r="D32" t="s">
        <v>417</v>
      </c>
      <c r="E32" t="s">
        <v>338</v>
      </c>
      <c r="F32" t="str">
        <f t="shared" si="0"/>
        <v>Aditya More</v>
      </c>
      <c r="G32" t="s">
        <v>365</v>
      </c>
      <c r="H32" t="s">
        <v>371</v>
      </c>
      <c r="I32">
        <v>2</v>
      </c>
      <c r="J32">
        <v>26131.34</v>
      </c>
      <c r="K32">
        <v>52262.68</v>
      </c>
      <c r="L32">
        <f t="shared" si="1"/>
        <v>52262.68</v>
      </c>
      <c r="M32" t="s">
        <v>379</v>
      </c>
      <c r="N32" t="str">
        <f t="shared" si="2"/>
        <v>Navi Mumbai</v>
      </c>
      <c r="O32" t="s">
        <v>383</v>
      </c>
      <c r="P32" t="str">
        <f t="shared" si="3"/>
        <v>UPI</v>
      </c>
      <c r="Q32" t="s">
        <v>390</v>
      </c>
      <c r="R32">
        <f t="shared" si="4"/>
        <v>2</v>
      </c>
    </row>
    <row r="33" spans="1:18" x14ac:dyDescent="0.3">
      <c r="A33" t="s">
        <v>43</v>
      </c>
      <c r="B33" s="3">
        <v>46090</v>
      </c>
      <c r="C33" t="s">
        <v>319</v>
      </c>
      <c r="D33" t="s">
        <v>428</v>
      </c>
      <c r="E33" t="s">
        <v>349</v>
      </c>
      <c r="F33" t="str">
        <f t="shared" si="0"/>
        <v>Pooja Chavan</v>
      </c>
      <c r="G33" t="s">
        <v>366</v>
      </c>
      <c r="H33" t="s">
        <v>373</v>
      </c>
      <c r="I33">
        <v>1</v>
      </c>
      <c r="J33">
        <v>13164.74</v>
      </c>
      <c r="K33">
        <v>13164.74</v>
      </c>
      <c r="L33">
        <f t="shared" si="1"/>
        <v>13164.74</v>
      </c>
      <c r="M33" t="s">
        <v>379</v>
      </c>
      <c r="N33" t="str">
        <f t="shared" si="2"/>
        <v>Navi Mumbai</v>
      </c>
      <c r="O33" t="s">
        <v>386</v>
      </c>
      <c r="P33" t="str">
        <f t="shared" si="3"/>
        <v>Net Banking</v>
      </c>
      <c r="Q33" t="s">
        <v>389</v>
      </c>
      <c r="R33">
        <f t="shared" si="4"/>
        <v>2</v>
      </c>
    </row>
    <row r="34" spans="1:18" x14ac:dyDescent="0.3">
      <c r="A34" t="s">
        <v>44</v>
      </c>
      <c r="B34" s="3">
        <v>46098</v>
      </c>
      <c r="C34" t="s">
        <v>318</v>
      </c>
      <c r="D34" t="s">
        <v>427</v>
      </c>
      <c r="E34" t="s">
        <v>348</v>
      </c>
      <c r="F34" t="str">
        <f t="shared" si="0"/>
        <v>Ananya Patil</v>
      </c>
      <c r="G34" t="s">
        <v>355</v>
      </c>
      <c r="H34" t="s">
        <v>369</v>
      </c>
      <c r="I34">
        <v>4</v>
      </c>
      <c r="J34">
        <v>651.66999999999996</v>
      </c>
      <c r="K34">
        <v>2606.6799999999998</v>
      </c>
      <c r="L34">
        <f t="shared" si="1"/>
        <v>2606.6799999999998</v>
      </c>
      <c r="M34" t="s">
        <v>380</v>
      </c>
      <c r="N34" t="str">
        <f t="shared" si="2"/>
        <v>Mumbai</v>
      </c>
      <c r="O34" t="s">
        <v>387</v>
      </c>
      <c r="P34" t="str">
        <f t="shared" si="3"/>
        <v>Debit Card</v>
      </c>
      <c r="Q34" t="s">
        <v>390</v>
      </c>
      <c r="R34">
        <f t="shared" si="4"/>
        <v>2</v>
      </c>
    </row>
    <row r="35" spans="1:18" x14ac:dyDescent="0.3">
      <c r="A35" t="s">
        <v>45</v>
      </c>
      <c r="B35" s="3">
        <v>46258</v>
      </c>
      <c r="C35" t="s">
        <v>326</v>
      </c>
      <c r="D35" t="s">
        <v>429</v>
      </c>
      <c r="E35" t="s">
        <v>350</v>
      </c>
      <c r="F35" t="str">
        <f t="shared" si="0"/>
        <v>Priya Shah</v>
      </c>
      <c r="G35" t="s">
        <v>367</v>
      </c>
      <c r="H35" t="s">
        <v>371</v>
      </c>
      <c r="I35">
        <v>5</v>
      </c>
      <c r="J35">
        <v>44791.1</v>
      </c>
      <c r="K35">
        <v>223955.5</v>
      </c>
      <c r="L35">
        <f t="shared" si="1"/>
        <v>223955.5</v>
      </c>
      <c r="M35" t="s">
        <v>380</v>
      </c>
      <c r="N35" t="str">
        <f t="shared" si="2"/>
        <v>Mumbai</v>
      </c>
      <c r="O35" t="s">
        <v>386</v>
      </c>
      <c r="P35" t="str">
        <f t="shared" si="3"/>
        <v>Net Banking</v>
      </c>
      <c r="Q35" t="s">
        <v>390</v>
      </c>
      <c r="R35">
        <f t="shared" si="4"/>
        <v>2</v>
      </c>
    </row>
    <row r="36" spans="1:18" x14ac:dyDescent="0.3">
      <c r="A36" t="s">
        <v>46</v>
      </c>
      <c r="B36" s="3">
        <v>46040</v>
      </c>
      <c r="C36" t="s">
        <v>312</v>
      </c>
      <c r="D36" t="s">
        <v>416</v>
      </c>
      <c r="E36" t="s">
        <v>337</v>
      </c>
      <c r="F36" t="str">
        <f t="shared" si="0"/>
        <v>Siddharth Patil</v>
      </c>
      <c r="G36" t="s">
        <v>359</v>
      </c>
      <c r="H36" t="s">
        <v>372</v>
      </c>
      <c r="I36">
        <v>2</v>
      </c>
      <c r="J36">
        <v>822.33</v>
      </c>
      <c r="K36">
        <v>1644.66</v>
      </c>
      <c r="L36">
        <f t="shared" si="1"/>
        <v>1644.66</v>
      </c>
      <c r="M36" t="s">
        <v>375</v>
      </c>
      <c r="N36" t="str">
        <f t="shared" si="2"/>
        <v>Pune</v>
      </c>
      <c r="O36" t="s">
        <v>386</v>
      </c>
      <c r="P36" t="str">
        <f t="shared" si="3"/>
        <v>Net Banking</v>
      </c>
      <c r="Q36" t="s">
        <v>390</v>
      </c>
      <c r="R36">
        <f t="shared" si="4"/>
        <v>3</v>
      </c>
    </row>
    <row r="37" spans="1:18" x14ac:dyDescent="0.3">
      <c r="A37" t="s">
        <v>47</v>
      </c>
      <c r="B37" s="3">
        <v>46043</v>
      </c>
      <c r="C37" t="s">
        <v>315</v>
      </c>
      <c r="D37" t="s">
        <v>426</v>
      </c>
      <c r="E37" t="s">
        <v>347</v>
      </c>
      <c r="F37" t="str">
        <f t="shared" si="0"/>
        <v>Omkar More</v>
      </c>
      <c r="G37" t="s">
        <v>363</v>
      </c>
      <c r="H37" t="s">
        <v>370</v>
      </c>
      <c r="I37">
        <v>5</v>
      </c>
      <c r="J37">
        <v>226.99</v>
      </c>
      <c r="K37">
        <v>1134.95</v>
      </c>
      <c r="L37">
        <f t="shared" si="1"/>
        <v>1134.95</v>
      </c>
      <c r="M37" t="s">
        <v>378</v>
      </c>
      <c r="N37" t="str">
        <f t="shared" si="2"/>
        <v>Thane</v>
      </c>
      <c r="O37" t="s">
        <v>387</v>
      </c>
      <c r="P37" t="str">
        <f t="shared" si="3"/>
        <v>Debit Card</v>
      </c>
      <c r="Q37" t="s">
        <v>390</v>
      </c>
      <c r="R37">
        <f t="shared" si="4"/>
        <v>1</v>
      </c>
    </row>
    <row r="38" spans="1:18" x14ac:dyDescent="0.3">
      <c r="A38" t="s">
        <v>48</v>
      </c>
      <c r="B38" s="3">
        <v>46124</v>
      </c>
      <c r="C38" t="s">
        <v>320</v>
      </c>
      <c r="D38" t="s">
        <v>428</v>
      </c>
      <c r="E38" t="s">
        <v>349</v>
      </c>
      <c r="F38" t="str">
        <f t="shared" si="0"/>
        <v>Pooja Chavan</v>
      </c>
      <c r="G38" t="s">
        <v>354</v>
      </c>
      <c r="H38" t="s">
        <v>369</v>
      </c>
      <c r="I38">
        <v>3</v>
      </c>
      <c r="J38">
        <v>1705.93</v>
      </c>
      <c r="K38">
        <v>5117.79</v>
      </c>
      <c r="L38">
        <f t="shared" si="1"/>
        <v>5117.79</v>
      </c>
      <c r="M38" t="s">
        <v>381</v>
      </c>
      <c r="N38" t="str">
        <f t="shared" si="2"/>
        <v>Kolhapur</v>
      </c>
      <c r="O38" t="s">
        <v>387</v>
      </c>
      <c r="P38" t="str">
        <f t="shared" si="3"/>
        <v>Debit Card</v>
      </c>
      <c r="Q38" t="s">
        <v>390</v>
      </c>
      <c r="R38">
        <f t="shared" si="4"/>
        <v>1</v>
      </c>
    </row>
    <row r="39" spans="1:18" x14ac:dyDescent="0.3">
      <c r="A39" t="s">
        <v>49</v>
      </c>
      <c r="B39" s="3">
        <v>46167</v>
      </c>
      <c r="C39" t="s">
        <v>316</v>
      </c>
      <c r="D39" t="s">
        <v>425</v>
      </c>
      <c r="E39" t="s">
        <v>346</v>
      </c>
      <c r="F39" t="str">
        <f t="shared" si="0"/>
        <v>Rohan Deshmukh</v>
      </c>
      <c r="G39" t="s">
        <v>367</v>
      </c>
      <c r="H39" t="s">
        <v>371</v>
      </c>
      <c r="I39">
        <v>4</v>
      </c>
      <c r="J39">
        <v>46090.43</v>
      </c>
      <c r="K39">
        <v>184361.72</v>
      </c>
      <c r="L39">
        <f t="shared" si="1"/>
        <v>184361.72</v>
      </c>
      <c r="M39" t="s">
        <v>376</v>
      </c>
      <c r="N39" t="str">
        <f t="shared" si="2"/>
        <v>Nagpur</v>
      </c>
      <c r="O39" t="s">
        <v>386</v>
      </c>
      <c r="P39" t="str">
        <f t="shared" si="3"/>
        <v>Net Banking</v>
      </c>
      <c r="Q39" t="s">
        <v>390</v>
      </c>
      <c r="R39">
        <f t="shared" si="4"/>
        <v>1</v>
      </c>
    </row>
    <row r="40" spans="1:18" x14ac:dyDescent="0.3">
      <c r="A40" t="s">
        <v>50</v>
      </c>
      <c r="B40" s="3">
        <v>46248</v>
      </c>
      <c r="C40" t="s">
        <v>312</v>
      </c>
      <c r="D40" t="s">
        <v>415</v>
      </c>
      <c r="E40" t="s">
        <v>336</v>
      </c>
      <c r="F40" t="str">
        <f t="shared" si="0"/>
        <v>Isha Gupta</v>
      </c>
      <c r="G40" t="s">
        <v>361</v>
      </c>
      <c r="H40" t="s">
        <v>371</v>
      </c>
      <c r="I40">
        <v>3</v>
      </c>
      <c r="J40">
        <v>2690.43</v>
      </c>
      <c r="K40">
        <v>8071.29</v>
      </c>
      <c r="L40">
        <f t="shared" si="1"/>
        <v>8071.2899999999991</v>
      </c>
      <c r="M40" t="s">
        <v>377</v>
      </c>
      <c r="N40" t="str">
        <f t="shared" si="2"/>
        <v>Aurangabad</v>
      </c>
      <c r="O40" t="s">
        <v>384</v>
      </c>
      <c r="P40" t="str">
        <f t="shared" si="3"/>
        <v>Credit Card</v>
      </c>
      <c r="Q40" t="s">
        <v>390</v>
      </c>
      <c r="R40">
        <f t="shared" si="4"/>
        <v>2</v>
      </c>
    </row>
    <row r="41" spans="1:18" x14ac:dyDescent="0.3">
      <c r="A41" t="s">
        <v>51</v>
      </c>
      <c r="B41" s="3">
        <v>46179</v>
      </c>
      <c r="C41" t="s">
        <v>326</v>
      </c>
      <c r="D41" t="s">
        <v>412</v>
      </c>
      <c r="E41" t="s">
        <v>333</v>
      </c>
      <c r="F41" t="str">
        <f t="shared" si="0"/>
        <v>Aarav Sharma</v>
      </c>
      <c r="G41" t="s">
        <v>359</v>
      </c>
      <c r="H41" t="s">
        <v>372</v>
      </c>
      <c r="I41">
        <v>5</v>
      </c>
      <c r="J41">
        <v>936.64</v>
      </c>
      <c r="K41">
        <v>4683.2</v>
      </c>
      <c r="L41">
        <f t="shared" si="1"/>
        <v>4683.2</v>
      </c>
      <c r="M41" t="s">
        <v>377</v>
      </c>
      <c r="N41" t="str">
        <f t="shared" si="2"/>
        <v>Aurangabad</v>
      </c>
      <c r="O41" t="s">
        <v>383</v>
      </c>
      <c r="P41" t="str">
        <f t="shared" si="3"/>
        <v>UPI</v>
      </c>
      <c r="Q41" t="s">
        <v>390</v>
      </c>
      <c r="R41">
        <f t="shared" si="4"/>
        <v>1</v>
      </c>
    </row>
    <row r="42" spans="1:18" x14ac:dyDescent="0.3">
      <c r="A42" t="s">
        <v>52</v>
      </c>
      <c r="B42" s="3">
        <v>46213</v>
      </c>
      <c r="C42" t="s">
        <v>314</v>
      </c>
      <c r="D42" t="s">
        <v>430</v>
      </c>
      <c r="E42" t="s">
        <v>351</v>
      </c>
      <c r="F42" t="str">
        <f t="shared" si="0"/>
        <v>Vivek Joshi</v>
      </c>
      <c r="G42" t="s">
        <v>357</v>
      </c>
      <c r="H42" t="s">
        <v>371</v>
      </c>
      <c r="I42">
        <v>1</v>
      </c>
      <c r="J42">
        <v>970.15</v>
      </c>
      <c r="K42">
        <v>970.15</v>
      </c>
      <c r="L42">
        <f t="shared" si="1"/>
        <v>970.15</v>
      </c>
      <c r="M42" t="s">
        <v>377</v>
      </c>
      <c r="N42" t="str">
        <f t="shared" si="2"/>
        <v>Aurangabad</v>
      </c>
      <c r="O42" t="s">
        <v>387</v>
      </c>
      <c r="P42" t="str">
        <f t="shared" si="3"/>
        <v>Debit Card</v>
      </c>
      <c r="Q42" t="s">
        <v>391</v>
      </c>
      <c r="R42">
        <f t="shared" si="4"/>
        <v>2</v>
      </c>
    </row>
    <row r="43" spans="1:18" x14ac:dyDescent="0.3">
      <c r="A43" t="s">
        <v>53</v>
      </c>
      <c r="B43" s="3">
        <v>46185</v>
      </c>
      <c r="C43" t="s">
        <v>322</v>
      </c>
      <c r="D43" t="s">
        <v>421</v>
      </c>
      <c r="E43" t="s">
        <v>342</v>
      </c>
      <c r="F43" t="str">
        <f t="shared" si="0"/>
        <v>Nikhil Pawar</v>
      </c>
      <c r="G43" t="s">
        <v>360</v>
      </c>
      <c r="H43" t="s">
        <v>371</v>
      </c>
      <c r="I43">
        <v>3</v>
      </c>
      <c r="J43">
        <v>1693.3</v>
      </c>
      <c r="K43">
        <v>5079.8999999999996</v>
      </c>
      <c r="L43">
        <f t="shared" si="1"/>
        <v>5079.8999999999996</v>
      </c>
      <c r="M43" t="s">
        <v>381</v>
      </c>
      <c r="N43" t="str">
        <f t="shared" si="2"/>
        <v>Kolhapur</v>
      </c>
      <c r="O43" t="s">
        <v>387</v>
      </c>
      <c r="P43" t="str">
        <f t="shared" si="3"/>
        <v>Debit Card</v>
      </c>
      <c r="Q43" t="s">
        <v>390</v>
      </c>
      <c r="R43">
        <f t="shared" si="4"/>
        <v>3</v>
      </c>
    </row>
    <row r="44" spans="1:18" x14ac:dyDescent="0.3">
      <c r="A44" t="s">
        <v>54</v>
      </c>
      <c r="B44" s="3">
        <v>46034</v>
      </c>
      <c r="C44" t="s">
        <v>321</v>
      </c>
      <c r="D44" t="s">
        <v>414</v>
      </c>
      <c r="E44" t="s">
        <v>335</v>
      </c>
      <c r="F44" t="str">
        <f t="shared" si="0"/>
        <v>Karan Mehta</v>
      </c>
      <c r="G44" t="s">
        <v>365</v>
      </c>
      <c r="H44" t="s">
        <v>371</v>
      </c>
      <c r="I44">
        <v>4</v>
      </c>
      <c r="J44">
        <v>29844.35</v>
      </c>
      <c r="K44">
        <v>119377.4</v>
      </c>
      <c r="L44">
        <f t="shared" si="1"/>
        <v>119377.4</v>
      </c>
      <c r="M44" t="s">
        <v>374</v>
      </c>
      <c r="N44" t="str">
        <f t="shared" si="2"/>
        <v>Nashik</v>
      </c>
      <c r="O44" t="s">
        <v>387</v>
      </c>
      <c r="P44" t="str">
        <f t="shared" si="3"/>
        <v>Debit Card</v>
      </c>
      <c r="Q44" t="s">
        <v>390</v>
      </c>
      <c r="R44">
        <f t="shared" si="4"/>
        <v>2</v>
      </c>
    </row>
    <row r="45" spans="1:18" x14ac:dyDescent="0.3">
      <c r="A45" t="s">
        <v>55</v>
      </c>
      <c r="B45" s="3">
        <v>46132</v>
      </c>
      <c r="C45" t="s">
        <v>314</v>
      </c>
      <c r="D45" t="s">
        <v>412</v>
      </c>
      <c r="E45" t="s">
        <v>333</v>
      </c>
      <c r="F45" t="str">
        <f t="shared" si="0"/>
        <v>Aarav Sharma</v>
      </c>
      <c r="G45" t="s">
        <v>355</v>
      </c>
      <c r="H45" t="s">
        <v>369</v>
      </c>
      <c r="I45">
        <v>4</v>
      </c>
      <c r="J45">
        <v>707.24</v>
      </c>
      <c r="K45">
        <v>2828.96</v>
      </c>
      <c r="L45">
        <f t="shared" si="1"/>
        <v>2828.96</v>
      </c>
      <c r="M45" t="s">
        <v>375</v>
      </c>
      <c r="N45" t="str">
        <f t="shared" si="2"/>
        <v>Pune</v>
      </c>
      <c r="O45" t="s">
        <v>383</v>
      </c>
      <c r="P45" t="str">
        <f t="shared" si="3"/>
        <v>UPI</v>
      </c>
      <c r="Q45" t="s">
        <v>389</v>
      </c>
      <c r="R45">
        <f t="shared" si="4"/>
        <v>4</v>
      </c>
    </row>
    <row r="46" spans="1:18" x14ac:dyDescent="0.3">
      <c r="A46" t="s">
        <v>56</v>
      </c>
      <c r="B46" s="3">
        <v>46236</v>
      </c>
      <c r="C46" t="s">
        <v>327</v>
      </c>
      <c r="D46" t="s">
        <v>426</v>
      </c>
      <c r="E46" t="s">
        <v>347</v>
      </c>
      <c r="F46" t="str">
        <f t="shared" si="0"/>
        <v>Omkar More</v>
      </c>
      <c r="G46" t="s">
        <v>362</v>
      </c>
      <c r="H46" t="s">
        <v>372</v>
      </c>
      <c r="I46">
        <v>2</v>
      </c>
      <c r="J46">
        <v>2220.06</v>
      </c>
      <c r="K46">
        <v>4440.12</v>
      </c>
      <c r="L46">
        <f t="shared" si="1"/>
        <v>4440.12</v>
      </c>
      <c r="M46" t="s">
        <v>374</v>
      </c>
      <c r="N46" t="str">
        <f t="shared" si="2"/>
        <v>Nashik</v>
      </c>
      <c r="O46" t="s">
        <v>385</v>
      </c>
      <c r="P46" t="str">
        <f t="shared" si="3"/>
        <v>Cash</v>
      </c>
      <c r="Q46" t="s">
        <v>390</v>
      </c>
      <c r="R46">
        <f t="shared" si="4"/>
        <v>1</v>
      </c>
    </row>
    <row r="47" spans="1:18" x14ac:dyDescent="0.3">
      <c r="A47" t="s">
        <v>57</v>
      </c>
      <c r="B47" s="3">
        <v>46261</v>
      </c>
      <c r="C47" t="s">
        <v>313</v>
      </c>
      <c r="D47" t="s">
        <v>415</v>
      </c>
      <c r="E47" t="s">
        <v>336</v>
      </c>
      <c r="F47" t="str">
        <f t="shared" si="0"/>
        <v>Isha Gupta</v>
      </c>
      <c r="G47" t="s">
        <v>367</v>
      </c>
      <c r="H47" t="s">
        <v>371</v>
      </c>
      <c r="I47">
        <v>3</v>
      </c>
      <c r="J47">
        <v>43781.86</v>
      </c>
      <c r="K47">
        <v>131345.57999999999</v>
      </c>
      <c r="L47">
        <f t="shared" si="1"/>
        <v>131345.58000000002</v>
      </c>
      <c r="M47" t="s">
        <v>376</v>
      </c>
      <c r="N47" t="str">
        <f t="shared" si="2"/>
        <v>Nagpur</v>
      </c>
      <c r="O47" t="s">
        <v>384</v>
      </c>
      <c r="P47" t="str">
        <f t="shared" si="3"/>
        <v>Credit Card</v>
      </c>
      <c r="Q47" t="s">
        <v>389</v>
      </c>
      <c r="R47">
        <f t="shared" si="4"/>
        <v>2</v>
      </c>
    </row>
    <row r="48" spans="1:18" x14ac:dyDescent="0.3">
      <c r="A48" t="s">
        <v>58</v>
      </c>
      <c r="B48" s="3">
        <v>46249</v>
      </c>
      <c r="C48" t="s">
        <v>315</v>
      </c>
      <c r="D48" t="s">
        <v>422</v>
      </c>
      <c r="E48" t="s">
        <v>343</v>
      </c>
      <c r="F48" t="str">
        <f t="shared" si="0"/>
        <v>Tanvi Shah</v>
      </c>
      <c r="G48" t="s">
        <v>365</v>
      </c>
      <c r="H48" t="s">
        <v>371</v>
      </c>
      <c r="I48">
        <v>3</v>
      </c>
      <c r="J48">
        <v>29568.65</v>
      </c>
      <c r="K48">
        <v>88705.95</v>
      </c>
      <c r="L48">
        <f t="shared" si="1"/>
        <v>88705.950000000012</v>
      </c>
      <c r="M48" t="s">
        <v>374</v>
      </c>
      <c r="N48" t="str">
        <f t="shared" si="2"/>
        <v>Nashik</v>
      </c>
      <c r="O48" t="s">
        <v>384</v>
      </c>
      <c r="P48" t="str">
        <f t="shared" si="3"/>
        <v>Credit Card</v>
      </c>
      <c r="Q48" t="s">
        <v>390</v>
      </c>
      <c r="R48">
        <f t="shared" si="4"/>
        <v>2</v>
      </c>
    </row>
    <row r="49" spans="1:18" x14ac:dyDescent="0.3">
      <c r="A49" t="s">
        <v>59</v>
      </c>
      <c r="B49" s="3">
        <v>46029</v>
      </c>
      <c r="C49" t="s">
        <v>328</v>
      </c>
      <c r="D49" t="s">
        <v>414</v>
      </c>
      <c r="E49" t="s">
        <v>335</v>
      </c>
      <c r="F49" t="str">
        <f t="shared" si="0"/>
        <v>Karan Mehta</v>
      </c>
      <c r="G49" t="s">
        <v>358</v>
      </c>
      <c r="H49" t="s">
        <v>372</v>
      </c>
      <c r="I49">
        <v>2</v>
      </c>
      <c r="J49">
        <v>3444.11</v>
      </c>
      <c r="K49">
        <v>6888.22</v>
      </c>
      <c r="L49">
        <f t="shared" si="1"/>
        <v>6888.22</v>
      </c>
      <c r="M49" t="s">
        <v>379</v>
      </c>
      <c r="N49" t="str">
        <f t="shared" si="2"/>
        <v>Navi Mumbai</v>
      </c>
      <c r="O49" t="s">
        <v>384</v>
      </c>
      <c r="P49" t="str">
        <f t="shared" si="3"/>
        <v>Credit Card</v>
      </c>
      <c r="Q49" t="s">
        <v>390</v>
      </c>
      <c r="R49">
        <f t="shared" si="4"/>
        <v>1</v>
      </c>
    </row>
    <row r="50" spans="1:18" x14ac:dyDescent="0.3">
      <c r="A50" t="s">
        <v>60</v>
      </c>
      <c r="B50" s="3">
        <v>46032</v>
      </c>
      <c r="C50" t="s">
        <v>325</v>
      </c>
      <c r="D50" t="s">
        <v>411</v>
      </c>
      <c r="E50" t="s">
        <v>332</v>
      </c>
      <c r="F50" t="str">
        <f t="shared" si="0"/>
        <v>Neha Pawar</v>
      </c>
      <c r="G50" t="s">
        <v>361</v>
      </c>
      <c r="H50" t="s">
        <v>371</v>
      </c>
      <c r="I50">
        <v>1</v>
      </c>
      <c r="J50">
        <v>2441.27</v>
      </c>
      <c r="K50">
        <v>2441.27</v>
      </c>
      <c r="L50">
        <f t="shared" si="1"/>
        <v>2441.27</v>
      </c>
      <c r="M50" t="s">
        <v>376</v>
      </c>
      <c r="N50" t="str">
        <f t="shared" si="2"/>
        <v>Nagpur</v>
      </c>
      <c r="O50" t="s">
        <v>385</v>
      </c>
      <c r="P50" t="str">
        <f t="shared" si="3"/>
        <v>Cash</v>
      </c>
      <c r="Q50" t="s">
        <v>390</v>
      </c>
      <c r="R50">
        <f t="shared" si="4"/>
        <v>1</v>
      </c>
    </row>
    <row r="51" spans="1:18" x14ac:dyDescent="0.3">
      <c r="A51" t="s">
        <v>61</v>
      </c>
      <c r="B51" s="3">
        <v>46191</v>
      </c>
      <c r="C51" t="s">
        <v>318</v>
      </c>
      <c r="D51" t="s">
        <v>416</v>
      </c>
      <c r="E51" t="s">
        <v>337</v>
      </c>
      <c r="F51" t="str">
        <f t="shared" si="0"/>
        <v>Siddharth Patil</v>
      </c>
      <c r="G51" t="s">
        <v>357</v>
      </c>
      <c r="H51" t="s">
        <v>371</v>
      </c>
      <c r="I51">
        <v>2</v>
      </c>
      <c r="J51">
        <v>850.13</v>
      </c>
      <c r="K51">
        <v>1700.26</v>
      </c>
      <c r="L51">
        <f t="shared" si="1"/>
        <v>1700.26</v>
      </c>
      <c r="M51" t="s">
        <v>378</v>
      </c>
      <c r="N51" t="str">
        <f t="shared" si="2"/>
        <v>Thane</v>
      </c>
      <c r="O51" t="s">
        <v>387</v>
      </c>
      <c r="P51" t="str">
        <f t="shared" si="3"/>
        <v>Debit Card</v>
      </c>
      <c r="Q51" t="s">
        <v>390</v>
      </c>
      <c r="R51">
        <f t="shared" si="4"/>
        <v>1</v>
      </c>
    </row>
    <row r="52" spans="1:18" x14ac:dyDescent="0.3">
      <c r="A52" t="s">
        <v>62</v>
      </c>
      <c r="B52" s="3">
        <v>46153</v>
      </c>
      <c r="C52" t="s">
        <v>329</v>
      </c>
      <c r="D52" t="s">
        <v>420</v>
      </c>
      <c r="E52" t="s">
        <v>341</v>
      </c>
      <c r="F52" t="str">
        <f t="shared" si="0"/>
        <v>Kavya Joshi</v>
      </c>
      <c r="G52" t="s">
        <v>358</v>
      </c>
      <c r="H52" t="s">
        <v>372</v>
      </c>
      <c r="I52">
        <v>3</v>
      </c>
      <c r="J52">
        <v>3104.73</v>
      </c>
      <c r="K52">
        <v>9314.19</v>
      </c>
      <c r="L52">
        <f t="shared" si="1"/>
        <v>9314.19</v>
      </c>
      <c r="M52" t="s">
        <v>378</v>
      </c>
      <c r="N52" t="str">
        <f t="shared" si="2"/>
        <v>Thane</v>
      </c>
      <c r="O52" t="s">
        <v>383</v>
      </c>
      <c r="P52" t="str">
        <f t="shared" si="3"/>
        <v>UPI</v>
      </c>
      <c r="Q52" t="s">
        <v>390</v>
      </c>
      <c r="R52">
        <f t="shared" si="4"/>
        <v>2</v>
      </c>
    </row>
    <row r="53" spans="1:18" x14ac:dyDescent="0.3">
      <c r="A53" t="s">
        <v>63</v>
      </c>
      <c r="B53" s="3">
        <v>46090</v>
      </c>
      <c r="C53" t="s">
        <v>313</v>
      </c>
      <c r="D53" t="s">
        <v>423</v>
      </c>
      <c r="E53" t="s">
        <v>344</v>
      </c>
      <c r="F53" t="str">
        <f t="shared" si="0"/>
        <v>Sneha Kulkarni</v>
      </c>
      <c r="G53" t="s">
        <v>362</v>
      </c>
      <c r="H53" t="s">
        <v>372</v>
      </c>
      <c r="I53">
        <v>3</v>
      </c>
      <c r="J53">
        <v>2058.5700000000002</v>
      </c>
      <c r="K53">
        <v>6175.71</v>
      </c>
      <c r="L53">
        <f t="shared" si="1"/>
        <v>6175.7100000000009</v>
      </c>
      <c r="M53" t="s">
        <v>379</v>
      </c>
      <c r="N53" t="str">
        <f t="shared" si="2"/>
        <v>Navi Mumbai</v>
      </c>
      <c r="O53" t="s">
        <v>387</v>
      </c>
      <c r="P53" t="str">
        <f t="shared" si="3"/>
        <v>Debit Card</v>
      </c>
      <c r="Q53" t="s">
        <v>389</v>
      </c>
      <c r="R53">
        <f t="shared" si="4"/>
        <v>2</v>
      </c>
    </row>
    <row r="54" spans="1:18" x14ac:dyDescent="0.3">
      <c r="A54" t="s">
        <v>64</v>
      </c>
      <c r="B54" s="3">
        <v>46153</v>
      </c>
      <c r="C54" t="s">
        <v>316</v>
      </c>
      <c r="D54" t="s">
        <v>416</v>
      </c>
      <c r="E54" t="s">
        <v>337</v>
      </c>
      <c r="F54" t="str">
        <f t="shared" si="0"/>
        <v>Siddharth Patil</v>
      </c>
      <c r="G54" t="s">
        <v>358</v>
      </c>
      <c r="H54" t="s">
        <v>372</v>
      </c>
      <c r="I54">
        <v>3</v>
      </c>
      <c r="J54">
        <v>3159.29</v>
      </c>
      <c r="K54">
        <v>9477.8700000000008</v>
      </c>
      <c r="L54">
        <f t="shared" si="1"/>
        <v>9477.869999999999</v>
      </c>
      <c r="M54" t="s">
        <v>376</v>
      </c>
      <c r="N54" t="str">
        <f t="shared" si="2"/>
        <v>Nagpur</v>
      </c>
      <c r="O54" t="s">
        <v>387</v>
      </c>
      <c r="P54" t="str">
        <f t="shared" si="3"/>
        <v>Debit Card</v>
      </c>
      <c r="Q54" t="s">
        <v>390</v>
      </c>
      <c r="R54">
        <f t="shared" si="4"/>
        <v>2</v>
      </c>
    </row>
    <row r="55" spans="1:18" x14ac:dyDescent="0.3">
      <c r="A55" t="s">
        <v>65</v>
      </c>
      <c r="B55" s="3">
        <v>46259</v>
      </c>
      <c r="C55" t="s">
        <v>314</v>
      </c>
      <c r="D55" t="s">
        <v>417</v>
      </c>
      <c r="E55" t="s">
        <v>338</v>
      </c>
      <c r="F55" t="str">
        <f t="shared" si="0"/>
        <v>Aditya More</v>
      </c>
      <c r="G55" t="s">
        <v>355</v>
      </c>
      <c r="H55" t="s">
        <v>369</v>
      </c>
      <c r="I55">
        <v>4</v>
      </c>
      <c r="J55">
        <v>630.24</v>
      </c>
      <c r="K55">
        <v>2520.96</v>
      </c>
      <c r="L55">
        <f t="shared" si="1"/>
        <v>2520.96</v>
      </c>
      <c r="M55" t="s">
        <v>378</v>
      </c>
      <c r="N55" t="str">
        <f t="shared" si="2"/>
        <v>Thane</v>
      </c>
      <c r="O55" t="s">
        <v>385</v>
      </c>
      <c r="P55" t="str">
        <f t="shared" si="3"/>
        <v>Cash</v>
      </c>
      <c r="Q55" t="s">
        <v>390</v>
      </c>
      <c r="R55">
        <f t="shared" si="4"/>
        <v>3</v>
      </c>
    </row>
    <row r="56" spans="1:18" x14ac:dyDescent="0.3">
      <c r="A56" t="s">
        <v>66</v>
      </c>
      <c r="B56" s="3">
        <v>46192</v>
      </c>
      <c r="C56" t="s">
        <v>316</v>
      </c>
      <c r="D56" t="s">
        <v>428</v>
      </c>
      <c r="E56" t="s">
        <v>349</v>
      </c>
      <c r="F56" t="str">
        <f t="shared" si="0"/>
        <v>Pooja Chavan</v>
      </c>
      <c r="G56" t="s">
        <v>354</v>
      </c>
      <c r="H56" t="s">
        <v>369</v>
      </c>
      <c r="I56">
        <v>3</v>
      </c>
      <c r="J56">
        <v>1844.34</v>
      </c>
      <c r="K56">
        <v>5533.02</v>
      </c>
      <c r="L56">
        <f t="shared" si="1"/>
        <v>5533.0199999999995</v>
      </c>
      <c r="M56" t="s">
        <v>377</v>
      </c>
      <c r="N56" t="str">
        <f t="shared" si="2"/>
        <v>Aurangabad</v>
      </c>
      <c r="O56" t="s">
        <v>388</v>
      </c>
      <c r="P56" t="str">
        <f t="shared" si="3"/>
        <v>UPI</v>
      </c>
      <c r="Q56" t="s">
        <v>390</v>
      </c>
      <c r="R56">
        <f t="shared" si="4"/>
        <v>1</v>
      </c>
    </row>
    <row r="57" spans="1:18" x14ac:dyDescent="0.3">
      <c r="A57" t="s">
        <v>67</v>
      </c>
      <c r="B57" s="3">
        <v>46072</v>
      </c>
      <c r="C57" t="s">
        <v>315</v>
      </c>
      <c r="D57" t="s">
        <v>416</v>
      </c>
      <c r="E57" t="s">
        <v>337</v>
      </c>
      <c r="F57" t="str">
        <f t="shared" si="0"/>
        <v>Siddharth Patil</v>
      </c>
      <c r="G57" t="s">
        <v>366</v>
      </c>
      <c r="H57" t="s">
        <v>373</v>
      </c>
      <c r="I57">
        <v>3</v>
      </c>
      <c r="J57">
        <v>12130.59</v>
      </c>
      <c r="K57">
        <v>36391.769999999997</v>
      </c>
      <c r="L57">
        <f t="shared" si="1"/>
        <v>36391.770000000004</v>
      </c>
      <c r="M57" t="s">
        <v>374</v>
      </c>
      <c r="N57" t="str">
        <f t="shared" si="2"/>
        <v>Nashik</v>
      </c>
      <c r="O57" t="s">
        <v>386</v>
      </c>
      <c r="P57" t="str">
        <f t="shared" si="3"/>
        <v>Net Banking</v>
      </c>
      <c r="Q57" t="s">
        <v>391</v>
      </c>
      <c r="R57">
        <f t="shared" si="4"/>
        <v>1</v>
      </c>
    </row>
    <row r="58" spans="1:18" x14ac:dyDescent="0.3">
      <c r="A58" t="s">
        <v>68</v>
      </c>
      <c r="B58" s="3">
        <v>46023</v>
      </c>
      <c r="C58" t="s">
        <v>330</v>
      </c>
      <c r="D58" t="s">
        <v>428</v>
      </c>
      <c r="E58" t="s">
        <v>349</v>
      </c>
      <c r="F58" t="str">
        <f t="shared" si="0"/>
        <v>Pooja Chavan</v>
      </c>
      <c r="G58" t="s">
        <v>357</v>
      </c>
      <c r="H58" t="s">
        <v>371</v>
      </c>
      <c r="I58">
        <v>4</v>
      </c>
      <c r="J58">
        <v>908.63</v>
      </c>
      <c r="K58">
        <v>3634.52</v>
      </c>
      <c r="L58">
        <f t="shared" si="1"/>
        <v>3634.52</v>
      </c>
      <c r="M58" t="s">
        <v>376</v>
      </c>
      <c r="N58" t="str">
        <f t="shared" si="2"/>
        <v>Nagpur</v>
      </c>
      <c r="O58" t="s">
        <v>385</v>
      </c>
      <c r="P58" t="str">
        <f t="shared" si="3"/>
        <v>Cash</v>
      </c>
      <c r="Q58" t="s">
        <v>391</v>
      </c>
      <c r="R58">
        <f t="shared" si="4"/>
        <v>3</v>
      </c>
    </row>
    <row r="59" spans="1:18" x14ac:dyDescent="0.3">
      <c r="A59" t="s">
        <v>69</v>
      </c>
      <c r="B59" s="3">
        <v>46136</v>
      </c>
      <c r="C59" t="s">
        <v>318</v>
      </c>
      <c r="D59" t="s">
        <v>421</v>
      </c>
      <c r="E59" t="s">
        <v>342</v>
      </c>
      <c r="F59" t="str">
        <f t="shared" si="0"/>
        <v>Nikhil Pawar</v>
      </c>
      <c r="G59" t="s">
        <v>363</v>
      </c>
      <c r="H59" t="s">
        <v>370</v>
      </c>
      <c r="I59">
        <v>3</v>
      </c>
      <c r="J59">
        <v>248.25</v>
      </c>
      <c r="K59">
        <v>744.75</v>
      </c>
      <c r="L59">
        <f t="shared" si="1"/>
        <v>744.75</v>
      </c>
      <c r="M59" t="s">
        <v>381</v>
      </c>
      <c r="N59" t="str">
        <f t="shared" si="2"/>
        <v>Kolhapur</v>
      </c>
      <c r="O59" t="s">
        <v>384</v>
      </c>
      <c r="P59" t="str">
        <f t="shared" si="3"/>
        <v>Credit Card</v>
      </c>
      <c r="Q59" t="s">
        <v>389</v>
      </c>
      <c r="R59">
        <f t="shared" si="4"/>
        <v>1</v>
      </c>
    </row>
    <row r="60" spans="1:18" x14ac:dyDescent="0.3">
      <c r="A60" t="s">
        <v>70</v>
      </c>
      <c r="B60" s="3">
        <v>46185</v>
      </c>
      <c r="C60" t="s">
        <v>323</v>
      </c>
      <c r="D60" t="s">
        <v>414</v>
      </c>
      <c r="E60" t="s">
        <v>335</v>
      </c>
      <c r="F60" t="str">
        <f t="shared" si="0"/>
        <v>Karan Mehta</v>
      </c>
      <c r="G60" t="s">
        <v>365</v>
      </c>
      <c r="H60" t="s">
        <v>371</v>
      </c>
      <c r="I60">
        <v>3</v>
      </c>
      <c r="J60">
        <v>28086.53</v>
      </c>
      <c r="K60">
        <v>84259.59</v>
      </c>
      <c r="L60">
        <f t="shared" si="1"/>
        <v>84259.59</v>
      </c>
      <c r="M60" t="s">
        <v>375</v>
      </c>
      <c r="N60" t="str">
        <f t="shared" si="2"/>
        <v>Pune</v>
      </c>
      <c r="O60" t="s">
        <v>384</v>
      </c>
      <c r="P60" t="str">
        <f t="shared" si="3"/>
        <v>Credit Card</v>
      </c>
      <c r="Q60" t="s">
        <v>389</v>
      </c>
      <c r="R60">
        <f t="shared" si="4"/>
        <v>1</v>
      </c>
    </row>
    <row r="61" spans="1:18" x14ac:dyDescent="0.3">
      <c r="A61" t="s">
        <v>71</v>
      </c>
      <c r="B61" s="3">
        <v>46060</v>
      </c>
      <c r="C61" t="s">
        <v>321</v>
      </c>
      <c r="D61" t="s">
        <v>427</v>
      </c>
      <c r="E61" t="s">
        <v>348</v>
      </c>
      <c r="F61" t="str">
        <f t="shared" si="0"/>
        <v>Ananya Patil</v>
      </c>
      <c r="G61" t="s">
        <v>357</v>
      </c>
      <c r="H61" t="s">
        <v>371</v>
      </c>
      <c r="I61">
        <v>2</v>
      </c>
      <c r="J61">
        <v>955.18</v>
      </c>
      <c r="K61">
        <v>1910.36</v>
      </c>
      <c r="L61">
        <f t="shared" si="1"/>
        <v>1910.36</v>
      </c>
      <c r="M61" t="s">
        <v>376</v>
      </c>
      <c r="N61" t="str">
        <f t="shared" si="2"/>
        <v>Nagpur</v>
      </c>
      <c r="O61" t="s">
        <v>385</v>
      </c>
      <c r="P61" t="str">
        <f t="shared" si="3"/>
        <v>Cash</v>
      </c>
      <c r="Q61" t="s">
        <v>391</v>
      </c>
      <c r="R61">
        <f t="shared" si="4"/>
        <v>1</v>
      </c>
    </row>
    <row r="62" spans="1:18" x14ac:dyDescent="0.3">
      <c r="A62" t="s">
        <v>72</v>
      </c>
      <c r="B62" s="3">
        <v>46249</v>
      </c>
      <c r="C62" t="s">
        <v>317</v>
      </c>
      <c r="D62" t="s">
        <v>417</v>
      </c>
      <c r="E62" t="s">
        <v>338</v>
      </c>
      <c r="F62" t="str">
        <f t="shared" si="0"/>
        <v>Aditya More</v>
      </c>
      <c r="G62" t="s">
        <v>359</v>
      </c>
      <c r="H62" t="s">
        <v>372</v>
      </c>
      <c r="I62">
        <v>1</v>
      </c>
      <c r="J62">
        <v>891.97</v>
      </c>
      <c r="K62">
        <v>891.97</v>
      </c>
      <c r="L62">
        <f t="shared" si="1"/>
        <v>891.97</v>
      </c>
      <c r="M62" t="s">
        <v>379</v>
      </c>
      <c r="N62" t="str">
        <f t="shared" si="2"/>
        <v>Navi Mumbai</v>
      </c>
      <c r="O62" t="s">
        <v>385</v>
      </c>
      <c r="P62" t="str">
        <f t="shared" si="3"/>
        <v>Cash</v>
      </c>
      <c r="Q62" t="s">
        <v>390</v>
      </c>
      <c r="R62">
        <f t="shared" si="4"/>
        <v>2</v>
      </c>
    </row>
    <row r="63" spans="1:18" x14ac:dyDescent="0.3">
      <c r="A63" t="s">
        <v>73</v>
      </c>
      <c r="B63" s="3">
        <v>46024</v>
      </c>
      <c r="C63" t="s">
        <v>316</v>
      </c>
      <c r="D63" t="s">
        <v>413</v>
      </c>
      <c r="E63" t="s">
        <v>334</v>
      </c>
      <c r="F63" t="str">
        <f t="shared" si="0"/>
        <v>Riya Desai</v>
      </c>
      <c r="G63" t="s">
        <v>360</v>
      </c>
      <c r="H63" t="s">
        <v>371</v>
      </c>
      <c r="I63">
        <v>2</v>
      </c>
      <c r="J63">
        <v>1856.18</v>
      </c>
      <c r="K63">
        <v>3712.36</v>
      </c>
      <c r="L63">
        <f t="shared" si="1"/>
        <v>3712.36</v>
      </c>
      <c r="M63" t="s">
        <v>376</v>
      </c>
      <c r="N63" t="str">
        <f t="shared" si="2"/>
        <v>Nagpur</v>
      </c>
      <c r="O63" t="s">
        <v>384</v>
      </c>
      <c r="P63" t="str">
        <f t="shared" si="3"/>
        <v>Credit Card</v>
      </c>
      <c r="Q63" t="s">
        <v>389</v>
      </c>
      <c r="R63">
        <f t="shared" si="4"/>
        <v>3</v>
      </c>
    </row>
    <row r="64" spans="1:18" x14ac:dyDescent="0.3">
      <c r="A64" t="s">
        <v>74</v>
      </c>
      <c r="B64" s="3">
        <v>46086</v>
      </c>
      <c r="C64" t="s">
        <v>316</v>
      </c>
      <c r="D64" t="s">
        <v>431</v>
      </c>
      <c r="E64" t="s">
        <v>352</v>
      </c>
      <c r="F64" t="str">
        <f t="shared" si="0"/>
        <v>Akash Shinde</v>
      </c>
      <c r="G64" t="s">
        <v>356</v>
      </c>
      <c r="H64" t="s">
        <v>370</v>
      </c>
      <c r="I64">
        <v>4</v>
      </c>
      <c r="J64">
        <v>109.21</v>
      </c>
      <c r="K64">
        <v>436.84</v>
      </c>
      <c r="L64">
        <f t="shared" si="1"/>
        <v>436.84</v>
      </c>
      <c r="M64" t="s">
        <v>374</v>
      </c>
      <c r="N64" t="str">
        <f t="shared" si="2"/>
        <v>Nashik</v>
      </c>
      <c r="O64" t="s">
        <v>385</v>
      </c>
      <c r="P64" t="str">
        <f t="shared" si="3"/>
        <v>Cash</v>
      </c>
      <c r="Q64" t="s">
        <v>389</v>
      </c>
      <c r="R64">
        <f t="shared" si="4"/>
        <v>2</v>
      </c>
    </row>
    <row r="65" spans="1:18" x14ac:dyDescent="0.3">
      <c r="A65" t="s">
        <v>75</v>
      </c>
      <c r="B65" s="3">
        <v>46266</v>
      </c>
      <c r="C65" t="s">
        <v>319</v>
      </c>
      <c r="D65" t="s">
        <v>422</v>
      </c>
      <c r="E65" t="s">
        <v>343</v>
      </c>
      <c r="F65" t="str">
        <f t="shared" si="0"/>
        <v>Tanvi Shah</v>
      </c>
      <c r="G65" t="s">
        <v>356</v>
      </c>
      <c r="H65" t="s">
        <v>370</v>
      </c>
      <c r="I65">
        <v>5</v>
      </c>
      <c r="J65">
        <v>122.29</v>
      </c>
      <c r="K65">
        <v>611.45000000000005</v>
      </c>
      <c r="L65">
        <f t="shared" si="1"/>
        <v>611.45000000000005</v>
      </c>
      <c r="M65" t="s">
        <v>379</v>
      </c>
      <c r="N65" t="str">
        <f t="shared" si="2"/>
        <v>Navi Mumbai</v>
      </c>
      <c r="O65" t="s">
        <v>386</v>
      </c>
      <c r="P65" t="str">
        <f t="shared" si="3"/>
        <v>Net Banking</v>
      </c>
      <c r="Q65" t="s">
        <v>390</v>
      </c>
      <c r="R65">
        <f t="shared" si="4"/>
        <v>2</v>
      </c>
    </row>
    <row r="66" spans="1:18" x14ac:dyDescent="0.3">
      <c r="A66" t="s">
        <v>76</v>
      </c>
      <c r="B66" s="3">
        <v>46144</v>
      </c>
      <c r="C66" t="s">
        <v>319</v>
      </c>
      <c r="D66" t="s">
        <v>419</v>
      </c>
      <c r="E66" t="s">
        <v>340</v>
      </c>
      <c r="F66" t="str">
        <f t="shared" si="0"/>
        <v>Rahul Jadhav</v>
      </c>
      <c r="G66" t="s">
        <v>362</v>
      </c>
      <c r="H66" t="s">
        <v>372</v>
      </c>
      <c r="I66">
        <v>2</v>
      </c>
      <c r="J66">
        <v>2307.21</v>
      </c>
      <c r="K66">
        <v>4614.42</v>
      </c>
      <c r="L66">
        <f t="shared" si="1"/>
        <v>4614.42</v>
      </c>
      <c r="M66" t="s">
        <v>376</v>
      </c>
      <c r="N66" t="str">
        <f t="shared" si="2"/>
        <v>Nagpur</v>
      </c>
      <c r="O66" t="s">
        <v>387</v>
      </c>
      <c r="P66" t="str">
        <f t="shared" si="3"/>
        <v>Debit Card</v>
      </c>
      <c r="Q66" t="s">
        <v>391</v>
      </c>
      <c r="R66">
        <f t="shared" si="4"/>
        <v>1</v>
      </c>
    </row>
    <row r="67" spans="1:18" x14ac:dyDescent="0.3">
      <c r="A67" t="s">
        <v>77</v>
      </c>
      <c r="B67" s="3">
        <v>46042</v>
      </c>
      <c r="C67" t="s">
        <v>330</v>
      </c>
      <c r="D67" t="s">
        <v>411</v>
      </c>
      <c r="E67" t="s">
        <v>332</v>
      </c>
      <c r="F67" t="str">
        <f t="shared" ref="F67:F130" si="5">TRIM(E67)</f>
        <v>Neha Pawar</v>
      </c>
      <c r="G67" t="s">
        <v>368</v>
      </c>
      <c r="H67" t="s">
        <v>373</v>
      </c>
      <c r="I67">
        <v>2</v>
      </c>
      <c r="J67">
        <v>6206.98</v>
      </c>
      <c r="K67">
        <v>12413.96</v>
      </c>
      <c r="L67">
        <f t="shared" ref="L67:L130" si="6">I67*J67</f>
        <v>12413.96</v>
      </c>
      <c r="M67" t="s">
        <v>377</v>
      </c>
      <c r="N67" t="str">
        <f t="shared" ref="N67:N130" si="7">PROPER(M67)</f>
        <v>Aurangabad</v>
      </c>
      <c r="O67" t="s">
        <v>387</v>
      </c>
      <c r="P67" t="str">
        <f t="shared" ref="P67:P130" si="8">TRIM(O67)</f>
        <v>Debit Card</v>
      </c>
      <c r="Q67" t="s">
        <v>390</v>
      </c>
      <c r="R67">
        <f t="shared" ref="R67:R130" si="9">COUNTIFS($C:$C,C67,$E:$E,E67)</f>
        <v>2</v>
      </c>
    </row>
    <row r="68" spans="1:18" x14ac:dyDescent="0.3">
      <c r="A68" t="s">
        <v>78</v>
      </c>
      <c r="B68" s="3">
        <v>46061</v>
      </c>
      <c r="C68" t="s">
        <v>312</v>
      </c>
      <c r="D68" t="s">
        <v>416</v>
      </c>
      <c r="E68" t="s">
        <v>337</v>
      </c>
      <c r="F68" t="str">
        <f t="shared" si="5"/>
        <v>Siddharth Patil</v>
      </c>
      <c r="G68" t="s">
        <v>362</v>
      </c>
      <c r="H68" t="s">
        <v>372</v>
      </c>
      <c r="I68">
        <v>5</v>
      </c>
      <c r="J68">
        <v>2015.45</v>
      </c>
      <c r="K68">
        <v>10077.25</v>
      </c>
      <c r="L68">
        <f t="shared" si="6"/>
        <v>10077.25</v>
      </c>
      <c r="M68" t="s">
        <v>374</v>
      </c>
      <c r="N68" t="str">
        <f t="shared" si="7"/>
        <v>Nashik</v>
      </c>
      <c r="O68" t="s">
        <v>384</v>
      </c>
      <c r="P68" t="str">
        <f t="shared" si="8"/>
        <v>Credit Card</v>
      </c>
      <c r="Q68" t="s">
        <v>390</v>
      </c>
      <c r="R68">
        <f t="shared" si="9"/>
        <v>3</v>
      </c>
    </row>
    <row r="69" spans="1:18" x14ac:dyDescent="0.3">
      <c r="A69" t="s">
        <v>79</v>
      </c>
      <c r="B69" s="3">
        <v>46142</v>
      </c>
      <c r="C69" t="s">
        <v>315</v>
      </c>
      <c r="D69" t="s">
        <v>427</v>
      </c>
      <c r="E69" t="s">
        <v>348</v>
      </c>
      <c r="F69" t="str">
        <f t="shared" si="5"/>
        <v>Ananya Patil</v>
      </c>
      <c r="G69" t="s">
        <v>366</v>
      </c>
      <c r="H69" t="s">
        <v>373</v>
      </c>
      <c r="I69">
        <v>4</v>
      </c>
      <c r="J69">
        <v>11594.12</v>
      </c>
      <c r="K69">
        <v>46376.480000000003</v>
      </c>
      <c r="L69">
        <f t="shared" si="6"/>
        <v>46376.480000000003</v>
      </c>
      <c r="M69" t="s">
        <v>376</v>
      </c>
      <c r="N69" t="str">
        <f t="shared" si="7"/>
        <v>Nagpur</v>
      </c>
      <c r="O69" t="s">
        <v>385</v>
      </c>
      <c r="P69" t="str">
        <f t="shared" si="8"/>
        <v>Cash</v>
      </c>
      <c r="Q69" t="s">
        <v>390</v>
      </c>
      <c r="R69">
        <f t="shared" si="9"/>
        <v>2</v>
      </c>
    </row>
    <row r="70" spans="1:18" x14ac:dyDescent="0.3">
      <c r="A70" t="s">
        <v>80</v>
      </c>
      <c r="B70" s="3">
        <v>46028</v>
      </c>
      <c r="C70" t="s">
        <v>317</v>
      </c>
      <c r="D70" t="s">
        <v>416</v>
      </c>
      <c r="E70" t="s">
        <v>337</v>
      </c>
      <c r="F70" t="str">
        <f t="shared" si="5"/>
        <v>Siddharth Patil</v>
      </c>
      <c r="G70" t="s">
        <v>362</v>
      </c>
      <c r="H70" t="s">
        <v>372</v>
      </c>
      <c r="I70">
        <v>5</v>
      </c>
      <c r="J70">
        <v>2396.27</v>
      </c>
      <c r="K70">
        <v>11981.35</v>
      </c>
      <c r="L70">
        <f t="shared" si="6"/>
        <v>11981.35</v>
      </c>
      <c r="M70" t="s">
        <v>381</v>
      </c>
      <c r="N70" t="str">
        <f t="shared" si="7"/>
        <v>Kolhapur</v>
      </c>
      <c r="O70" t="s">
        <v>383</v>
      </c>
      <c r="P70" t="str">
        <f t="shared" si="8"/>
        <v>UPI</v>
      </c>
      <c r="Q70" t="s">
        <v>390</v>
      </c>
      <c r="R70">
        <f t="shared" si="9"/>
        <v>1</v>
      </c>
    </row>
    <row r="71" spans="1:18" x14ac:dyDescent="0.3">
      <c r="A71" t="s">
        <v>81</v>
      </c>
      <c r="B71" s="3">
        <v>46236</v>
      </c>
      <c r="C71" t="s">
        <v>315</v>
      </c>
      <c r="D71" t="s">
        <v>420</v>
      </c>
      <c r="E71" t="s">
        <v>341</v>
      </c>
      <c r="F71" t="str">
        <f t="shared" si="5"/>
        <v>Kavya Joshi</v>
      </c>
      <c r="G71" t="s">
        <v>357</v>
      </c>
      <c r="H71" t="s">
        <v>371</v>
      </c>
      <c r="I71">
        <v>4</v>
      </c>
      <c r="J71">
        <v>963.62</v>
      </c>
      <c r="K71">
        <v>3854.48</v>
      </c>
      <c r="L71">
        <f t="shared" si="6"/>
        <v>3854.48</v>
      </c>
      <c r="M71" t="s">
        <v>376</v>
      </c>
      <c r="N71" t="str">
        <f t="shared" si="7"/>
        <v>Nagpur</v>
      </c>
      <c r="O71" t="s">
        <v>385</v>
      </c>
      <c r="P71" t="str">
        <f t="shared" si="8"/>
        <v>Cash</v>
      </c>
      <c r="Q71" t="s">
        <v>390</v>
      </c>
      <c r="R71">
        <f t="shared" si="9"/>
        <v>1</v>
      </c>
    </row>
    <row r="72" spans="1:18" x14ac:dyDescent="0.3">
      <c r="A72" t="s">
        <v>82</v>
      </c>
      <c r="B72" s="3">
        <v>46122</v>
      </c>
      <c r="C72" t="s">
        <v>324</v>
      </c>
      <c r="D72" t="s">
        <v>416</v>
      </c>
      <c r="E72" t="s">
        <v>337</v>
      </c>
      <c r="F72" t="str">
        <f t="shared" si="5"/>
        <v>Siddharth Patil</v>
      </c>
      <c r="G72" t="s">
        <v>357</v>
      </c>
      <c r="H72" t="s">
        <v>371</v>
      </c>
      <c r="I72">
        <v>4</v>
      </c>
      <c r="J72">
        <v>897.42</v>
      </c>
      <c r="K72">
        <v>3589.68</v>
      </c>
      <c r="L72">
        <f t="shared" si="6"/>
        <v>3589.68</v>
      </c>
      <c r="M72" t="s">
        <v>374</v>
      </c>
      <c r="N72" t="str">
        <f t="shared" si="7"/>
        <v>Nashik</v>
      </c>
      <c r="O72" t="s">
        <v>385</v>
      </c>
      <c r="P72" t="str">
        <f t="shared" si="8"/>
        <v>Cash</v>
      </c>
      <c r="Q72" t="s">
        <v>390</v>
      </c>
      <c r="R72">
        <f t="shared" si="9"/>
        <v>1</v>
      </c>
    </row>
    <row r="73" spans="1:18" x14ac:dyDescent="0.3">
      <c r="A73" t="s">
        <v>83</v>
      </c>
      <c r="B73" s="3">
        <v>46123</v>
      </c>
      <c r="C73" t="s">
        <v>317</v>
      </c>
      <c r="D73" t="s">
        <v>426</v>
      </c>
      <c r="E73" t="s">
        <v>347</v>
      </c>
      <c r="F73" t="str">
        <f t="shared" si="5"/>
        <v>Omkar More</v>
      </c>
      <c r="G73" t="s">
        <v>363</v>
      </c>
      <c r="H73" t="s">
        <v>370</v>
      </c>
      <c r="I73">
        <v>5</v>
      </c>
      <c r="J73">
        <v>226.35</v>
      </c>
      <c r="K73">
        <v>1131.75</v>
      </c>
      <c r="L73">
        <f t="shared" si="6"/>
        <v>1131.75</v>
      </c>
      <c r="M73" t="s">
        <v>380</v>
      </c>
      <c r="N73" t="str">
        <f t="shared" si="7"/>
        <v>Mumbai</v>
      </c>
      <c r="O73" t="s">
        <v>383</v>
      </c>
      <c r="P73" t="str">
        <f t="shared" si="8"/>
        <v>UPI</v>
      </c>
      <c r="Q73" t="s">
        <v>389</v>
      </c>
      <c r="R73">
        <f t="shared" si="9"/>
        <v>4</v>
      </c>
    </row>
    <row r="74" spans="1:18" x14ac:dyDescent="0.3">
      <c r="A74" t="s">
        <v>84</v>
      </c>
      <c r="B74" s="3">
        <v>46069</v>
      </c>
      <c r="C74" t="s">
        <v>313</v>
      </c>
      <c r="D74" t="s">
        <v>419</v>
      </c>
      <c r="E74" t="s">
        <v>340</v>
      </c>
      <c r="F74" t="str">
        <f t="shared" si="5"/>
        <v>Rahul Jadhav</v>
      </c>
      <c r="G74" t="s">
        <v>366</v>
      </c>
      <c r="H74" t="s">
        <v>373</v>
      </c>
      <c r="I74">
        <v>2</v>
      </c>
      <c r="J74">
        <v>12880.44</v>
      </c>
      <c r="K74">
        <v>25760.880000000001</v>
      </c>
      <c r="L74">
        <f t="shared" si="6"/>
        <v>25760.880000000001</v>
      </c>
      <c r="M74" t="s">
        <v>379</v>
      </c>
      <c r="N74" t="str">
        <f t="shared" si="7"/>
        <v>Navi Mumbai</v>
      </c>
      <c r="O74" t="s">
        <v>387</v>
      </c>
      <c r="P74" t="str">
        <f t="shared" si="8"/>
        <v>Debit Card</v>
      </c>
      <c r="Q74" t="s">
        <v>390</v>
      </c>
      <c r="R74">
        <f t="shared" si="9"/>
        <v>2</v>
      </c>
    </row>
    <row r="75" spans="1:18" x14ac:dyDescent="0.3">
      <c r="A75" t="s">
        <v>85</v>
      </c>
      <c r="B75" s="3">
        <v>46248</v>
      </c>
      <c r="C75" t="s">
        <v>329</v>
      </c>
      <c r="D75" t="s">
        <v>419</v>
      </c>
      <c r="E75" t="s">
        <v>340</v>
      </c>
      <c r="F75" t="str">
        <f t="shared" si="5"/>
        <v>Rahul Jadhav</v>
      </c>
      <c r="G75" t="s">
        <v>368</v>
      </c>
      <c r="H75" t="s">
        <v>373</v>
      </c>
      <c r="I75">
        <v>3</v>
      </c>
      <c r="J75">
        <v>6288.75</v>
      </c>
      <c r="K75">
        <v>18866.25</v>
      </c>
      <c r="L75">
        <f t="shared" si="6"/>
        <v>18866.25</v>
      </c>
      <c r="M75" t="s">
        <v>379</v>
      </c>
      <c r="N75" t="str">
        <f t="shared" si="7"/>
        <v>Navi Mumbai</v>
      </c>
      <c r="O75" t="s">
        <v>387</v>
      </c>
      <c r="P75" t="str">
        <f t="shared" si="8"/>
        <v>Debit Card</v>
      </c>
      <c r="Q75" t="s">
        <v>390</v>
      </c>
      <c r="R75">
        <f t="shared" si="9"/>
        <v>2</v>
      </c>
    </row>
    <row r="76" spans="1:18" x14ac:dyDescent="0.3">
      <c r="A76" t="s">
        <v>86</v>
      </c>
      <c r="B76" s="3">
        <v>46036</v>
      </c>
      <c r="C76" t="s">
        <v>327</v>
      </c>
      <c r="D76" t="s">
        <v>411</v>
      </c>
      <c r="E76" t="s">
        <v>332</v>
      </c>
      <c r="F76" t="str">
        <f t="shared" si="5"/>
        <v>Neha Pawar</v>
      </c>
      <c r="G76" t="s">
        <v>368</v>
      </c>
      <c r="H76" t="s">
        <v>373</v>
      </c>
      <c r="I76">
        <v>1</v>
      </c>
      <c r="J76">
        <v>6823.73</v>
      </c>
      <c r="K76">
        <v>6823.73</v>
      </c>
      <c r="L76">
        <f t="shared" si="6"/>
        <v>6823.73</v>
      </c>
      <c r="M76" t="s">
        <v>375</v>
      </c>
      <c r="N76" t="str">
        <f t="shared" si="7"/>
        <v>Pune</v>
      </c>
      <c r="O76" t="s">
        <v>383</v>
      </c>
      <c r="P76" t="str">
        <f t="shared" si="8"/>
        <v>UPI</v>
      </c>
      <c r="Q76" t="s">
        <v>390</v>
      </c>
      <c r="R76">
        <f t="shared" si="9"/>
        <v>2</v>
      </c>
    </row>
    <row r="77" spans="1:18" x14ac:dyDescent="0.3">
      <c r="A77" t="s">
        <v>87</v>
      </c>
      <c r="B77" s="3">
        <v>46182</v>
      </c>
      <c r="C77" t="s">
        <v>320</v>
      </c>
      <c r="D77" t="s">
        <v>411</v>
      </c>
      <c r="E77" t="s">
        <v>332</v>
      </c>
      <c r="F77" t="str">
        <f t="shared" si="5"/>
        <v>Neha Pawar</v>
      </c>
      <c r="G77" t="s">
        <v>360</v>
      </c>
      <c r="H77" t="s">
        <v>371</v>
      </c>
      <c r="I77">
        <v>2</v>
      </c>
      <c r="J77">
        <v>1922.12</v>
      </c>
      <c r="K77">
        <v>3844.24</v>
      </c>
      <c r="L77">
        <f t="shared" si="6"/>
        <v>3844.24</v>
      </c>
      <c r="M77" t="s">
        <v>374</v>
      </c>
      <c r="N77" t="str">
        <f t="shared" si="7"/>
        <v>Nashik</v>
      </c>
      <c r="O77" t="s">
        <v>385</v>
      </c>
      <c r="P77" t="str">
        <f t="shared" si="8"/>
        <v>Cash</v>
      </c>
      <c r="Q77" t="s">
        <v>389</v>
      </c>
      <c r="R77">
        <f t="shared" si="9"/>
        <v>1</v>
      </c>
    </row>
    <row r="78" spans="1:18" x14ac:dyDescent="0.3">
      <c r="A78" t="s">
        <v>88</v>
      </c>
      <c r="B78" s="3">
        <v>46142</v>
      </c>
      <c r="C78" t="s">
        <v>322</v>
      </c>
      <c r="D78" t="s">
        <v>415</v>
      </c>
      <c r="E78" t="s">
        <v>336</v>
      </c>
      <c r="F78" t="str">
        <f t="shared" si="5"/>
        <v>Isha Gupta</v>
      </c>
      <c r="G78" t="s">
        <v>365</v>
      </c>
      <c r="H78" t="s">
        <v>371</v>
      </c>
      <c r="I78">
        <v>5</v>
      </c>
      <c r="J78">
        <v>30507.439999999999</v>
      </c>
      <c r="K78">
        <v>152537.20000000001</v>
      </c>
      <c r="L78">
        <f t="shared" si="6"/>
        <v>152537.19999999998</v>
      </c>
      <c r="M78" t="s">
        <v>374</v>
      </c>
      <c r="N78" t="str">
        <f t="shared" si="7"/>
        <v>Nashik</v>
      </c>
      <c r="O78" t="s">
        <v>386</v>
      </c>
      <c r="P78" t="str">
        <f t="shared" si="8"/>
        <v>Net Banking</v>
      </c>
      <c r="Q78" t="s">
        <v>391</v>
      </c>
      <c r="R78">
        <f t="shared" si="9"/>
        <v>2</v>
      </c>
    </row>
    <row r="79" spans="1:18" x14ac:dyDescent="0.3">
      <c r="A79" t="s">
        <v>89</v>
      </c>
      <c r="B79" s="3">
        <v>46064</v>
      </c>
      <c r="C79" t="s">
        <v>330</v>
      </c>
      <c r="D79" t="s">
        <v>423</v>
      </c>
      <c r="E79" t="s">
        <v>344</v>
      </c>
      <c r="F79" t="str">
        <f t="shared" si="5"/>
        <v>Sneha Kulkarni</v>
      </c>
      <c r="G79" t="s">
        <v>355</v>
      </c>
      <c r="H79" t="s">
        <v>369</v>
      </c>
      <c r="I79">
        <v>1</v>
      </c>
      <c r="J79">
        <v>738.89</v>
      </c>
      <c r="K79">
        <v>738.89</v>
      </c>
      <c r="L79">
        <f t="shared" si="6"/>
        <v>738.89</v>
      </c>
      <c r="M79" t="s">
        <v>380</v>
      </c>
      <c r="N79" t="str">
        <f t="shared" si="7"/>
        <v>Mumbai</v>
      </c>
      <c r="O79" t="s">
        <v>387</v>
      </c>
      <c r="P79" t="str">
        <f t="shared" si="8"/>
        <v>Debit Card</v>
      </c>
      <c r="Q79" t="s">
        <v>391</v>
      </c>
      <c r="R79">
        <f t="shared" si="9"/>
        <v>1</v>
      </c>
    </row>
    <row r="80" spans="1:18" x14ac:dyDescent="0.3">
      <c r="A80" t="s">
        <v>90</v>
      </c>
      <c r="B80" s="3">
        <v>46206</v>
      </c>
      <c r="C80" t="s">
        <v>318</v>
      </c>
      <c r="D80" t="s">
        <v>425</v>
      </c>
      <c r="E80" t="s">
        <v>346</v>
      </c>
      <c r="F80" t="str">
        <f t="shared" si="5"/>
        <v>Rohan Deshmukh</v>
      </c>
      <c r="G80" t="s">
        <v>354</v>
      </c>
      <c r="H80" t="s">
        <v>369</v>
      </c>
      <c r="I80">
        <v>4</v>
      </c>
      <c r="J80">
        <v>1762.8</v>
      </c>
      <c r="K80">
        <v>7051.2</v>
      </c>
      <c r="L80">
        <f t="shared" si="6"/>
        <v>7051.2</v>
      </c>
      <c r="M80" t="s">
        <v>376</v>
      </c>
      <c r="N80" t="str">
        <f t="shared" si="7"/>
        <v>Nagpur</v>
      </c>
      <c r="O80" t="s">
        <v>383</v>
      </c>
      <c r="P80" t="str">
        <f t="shared" si="8"/>
        <v>UPI</v>
      </c>
      <c r="Q80" t="s">
        <v>389</v>
      </c>
      <c r="R80">
        <f t="shared" si="9"/>
        <v>1</v>
      </c>
    </row>
    <row r="81" spans="1:18" x14ac:dyDescent="0.3">
      <c r="A81" t="s">
        <v>91</v>
      </c>
      <c r="B81" s="3">
        <v>46176</v>
      </c>
      <c r="C81" t="s">
        <v>316</v>
      </c>
      <c r="D81" t="s">
        <v>426</v>
      </c>
      <c r="E81" t="s">
        <v>347</v>
      </c>
      <c r="F81" t="str">
        <f t="shared" si="5"/>
        <v>Omkar More</v>
      </c>
      <c r="G81" t="s">
        <v>358</v>
      </c>
      <c r="H81" t="s">
        <v>372</v>
      </c>
      <c r="I81">
        <v>3</v>
      </c>
      <c r="J81">
        <v>3424.19</v>
      </c>
      <c r="K81">
        <v>10272.57</v>
      </c>
      <c r="L81">
        <f t="shared" si="6"/>
        <v>10272.57</v>
      </c>
      <c r="M81" t="s">
        <v>380</v>
      </c>
      <c r="N81" t="str">
        <f t="shared" si="7"/>
        <v>Mumbai</v>
      </c>
      <c r="O81" t="s">
        <v>387</v>
      </c>
      <c r="P81" t="str">
        <f t="shared" si="8"/>
        <v>Debit Card</v>
      </c>
      <c r="Q81" t="s">
        <v>391</v>
      </c>
      <c r="R81">
        <f t="shared" si="9"/>
        <v>1</v>
      </c>
    </row>
    <row r="82" spans="1:18" x14ac:dyDescent="0.3">
      <c r="A82" t="s">
        <v>92</v>
      </c>
      <c r="B82" s="3">
        <v>46188</v>
      </c>
      <c r="C82" t="s">
        <v>324</v>
      </c>
      <c r="D82" t="s">
        <v>412</v>
      </c>
      <c r="E82" t="s">
        <v>333</v>
      </c>
      <c r="F82" t="str">
        <f t="shared" si="5"/>
        <v>Aarav Sharma</v>
      </c>
      <c r="G82" t="s">
        <v>366</v>
      </c>
      <c r="H82" t="s">
        <v>373</v>
      </c>
      <c r="I82">
        <v>3</v>
      </c>
      <c r="J82">
        <v>10965.5</v>
      </c>
      <c r="K82">
        <v>32896.5</v>
      </c>
      <c r="L82">
        <f t="shared" si="6"/>
        <v>32896.5</v>
      </c>
      <c r="M82" t="s">
        <v>379</v>
      </c>
      <c r="N82" t="str">
        <f t="shared" si="7"/>
        <v>Navi Mumbai</v>
      </c>
      <c r="O82" t="s">
        <v>385</v>
      </c>
      <c r="P82" t="str">
        <f t="shared" si="8"/>
        <v>Cash</v>
      </c>
      <c r="Q82" t="s">
        <v>390</v>
      </c>
      <c r="R82">
        <f t="shared" si="9"/>
        <v>1</v>
      </c>
    </row>
    <row r="83" spans="1:18" x14ac:dyDescent="0.3">
      <c r="A83" t="s">
        <v>93</v>
      </c>
      <c r="B83" s="3">
        <v>46235</v>
      </c>
      <c r="C83" t="s">
        <v>319</v>
      </c>
      <c r="D83" t="s">
        <v>430</v>
      </c>
      <c r="E83" t="s">
        <v>351</v>
      </c>
      <c r="F83" t="str">
        <f t="shared" si="5"/>
        <v>Vivek Joshi</v>
      </c>
      <c r="G83" t="s">
        <v>366</v>
      </c>
      <c r="H83" t="s">
        <v>373</v>
      </c>
      <c r="I83">
        <v>3</v>
      </c>
      <c r="J83">
        <v>12325.4</v>
      </c>
      <c r="K83">
        <v>36976.199999999997</v>
      </c>
      <c r="L83">
        <f t="shared" si="6"/>
        <v>36976.199999999997</v>
      </c>
      <c r="M83" t="s">
        <v>379</v>
      </c>
      <c r="N83" t="str">
        <f t="shared" si="7"/>
        <v>Navi Mumbai</v>
      </c>
      <c r="O83" t="s">
        <v>384</v>
      </c>
      <c r="P83" t="str">
        <f t="shared" si="8"/>
        <v>Credit Card</v>
      </c>
      <c r="Q83" t="s">
        <v>389</v>
      </c>
      <c r="R83">
        <f t="shared" si="9"/>
        <v>2</v>
      </c>
    </row>
    <row r="84" spans="1:18" x14ac:dyDescent="0.3">
      <c r="A84" t="s">
        <v>94</v>
      </c>
      <c r="B84" s="3">
        <v>46258</v>
      </c>
      <c r="C84" t="s">
        <v>314</v>
      </c>
      <c r="D84" t="s">
        <v>424</v>
      </c>
      <c r="E84" t="s">
        <v>345</v>
      </c>
      <c r="F84" t="str">
        <f t="shared" si="5"/>
        <v>Mansi Kulkarni</v>
      </c>
      <c r="G84" t="s">
        <v>356</v>
      </c>
      <c r="H84" t="s">
        <v>370</v>
      </c>
      <c r="I84">
        <v>3</v>
      </c>
      <c r="J84">
        <v>122.78</v>
      </c>
      <c r="K84">
        <v>368.34</v>
      </c>
      <c r="L84">
        <f t="shared" si="6"/>
        <v>368.34000000000003</v>
      </c>
      <c r="M84" t="s">
        <v>381</v>
      </c>
      <c r="N84" t="str">
        <f t="shared" si="7"/>
        <v>Kolhapur</v>
      </c>
      <c r="O84" t="s">
        <v>385</v>
      </c>
      <c r="P84" t="str">
        <f t="shared" si="8"/>
        <v>Cash</v>
      </c>
      <c r="Q84" t="s">
        <v>389</v>
      </c>
      <c r="R84">
        <f t="shared" si="9"/>
        <v>2</v>
      </c>
    </row>
    <row r="85" spans="1:18" x14ac:dyDescent="0.3">
      <c r="A85" t="s">
        <v>95</v>
      </c>
      <c r="B85" s="3">
        <v>46085</v>
      </c>
      <c r="C85" t="s">
        <v>331</v>
      </c>
      <c r="D85" t="s">
        <v>419</v>
      </c>
      <c r="E85" t="s">
        <v>340</v>
      </c>
      <c r="F85" t="str">
        <f t="shared" si="5"/>
        <v>Rahul Jadhav</v>
      </c>
      <c r="G85" t="s">
        <v>363</v>
      </c>
      <c r="H85" t="s">
        <v>370</v>
      </c>
      <c r="I85">
        <v>3</v>
      </c>
      <c r="J85">
        <v>241.12</v>
      </c>
      <c r="K85">
        <v>723.36</v>
      </c>
      <c r="L85">
        <f t="shared" si="6"/>
        <v>723.36</v>
      </c>
      <c r="M85" t="s">
        <v>381</v>
      </c>
      <c r="N85" t="str">
        <f t="shared" si="7"/>
        <v>Kolhapur</v>
      </c>
      <c r="O85" t="s">
        <v>384</v>
      </c>
      <c r="P85" t="str">
        <f t="shared" si="8"/>
        <v>Credit Card</v>
      </c>
      <c r="Q85" t="s">
        <v>390</v>
      </c>
      <c r="R85">
        <f t="shared" si="9"/>
        <v>1</v>
      </c>
    </row>
    <row r="86" spans="1:18" x14ac:dyDescent="0.3">
      <c r="A86" t="s">
        <v>96</v>
      </c>
      <c r="B86" s="3">
        <v>46109</v>
      </c>
      <c r="C86" t="s">
        <v>321</v>
      </c>
      <c r="D86" t="s">
        <v>424</v>
      </c>
      <c r="E86" t="s">
        <v>345</v>
      </c>
      <c r="F86" t="str">
        <f t="shared" si="5"/>
        <v>Mansi Kulkarni</v>
      </c>
      <c r="G86" t="s">
        <v>363</v>
      </c>
      <c r="H86" t="s">
        <v>370</v>
      </c>
      <c r="I86">
        <v>5</v>
      </c>
      <c r="J86">
        <v>258.41000000000003</v>
      </c>
      <c r="K86">
        <v>1292.05</v>
      </c>
      <c r="L86">
        <f t="shared" si="6"/>
        <v>1292.0500000000002</v>
      </c>
      <c r="M86" t="s">
        <v>378</v>
      </c>
      <c r="N86" t="str">
        <f t="shared" si="7"/>
        <v>Thane</v>
      </c>
      <c r="O86" t="s">
        <v>384</v>
      </c>
      <c r="P86" t="str">
        <f t="shared" si="8"/>
        <v>Credit Card</v>
      </c>
      <c r="Q86" t="s">
        <v>390</v>
      </c>
      <c r="R86">
        <f t="shared" si="9"/>
        <v>1</v>
      </c>
    </row>
    <row r="87" spans="1:18" x14ac:dyDescent="0.3">
      <c r="A87" t="s">
        <v>97</v>
      </c>
      <c r="B87" s="3">
        <v>46110</v>
      </c>
      <c r="C87" t="s">
        <v>322</v>
      </c>
      <c r="D87" t="s">
        <v>422</v>
      </c>
      <c r="E87" t="s">
        <v>343</v>
      </c>
      <c r="F87" t="str">
        <f t="shared" si="5"/>
        <v>Tanvi Shah</v>
      </c>
      <c r="G87" t="s">
        <v>360</v>
      </c>
      <c r="H87" t="s">
        <v>371</v>
      </c>
      <c r="I87">
        <v>3</v>
      </c>
      <c r="J87">
        <v>1907.22</v>
      </c>
      <c r="K87">
        <v>5721.66</v>
      </c>
      <c r="L87">
        <f t="shared" si="6"/>
        <v>5721.66</v>
      </c>
      <c r="M87" t="s">
        <v>377</v>
      </c>
      <c r="N87" t="str">
        <f t="shared" si="7"/>
        <v>Aurangabad</v>
      </c>
      <c r="O87" t="s">
        <v>386</v>
      </c>
      <c r="P87" t="str">
        <f t="shared" si="8"/>
        <v>Net Banking</v>
      </c>
      <c r="Q87" t="s">
        <v>390</v>
      </c>
      <c r="R87">
        <f t="shared" si="9"/>
        <v>2</v>
      </c>
    </row>
    <row r="88" spans="1:18" x14ac:dyDescent="0.3">
      <c r="A88" t="s">
        <v>98</v>
      </c>
      <c r="B88" s="3">
        <v>46207</v>
      </c>
      <c r="C88" t="s">
        <v>315</v>
      </c>
      <c r="D88" t="s">
        <v>424</v>
      </c>
      <c r="E88" t="s">
        <v>345</v>
      </c>
      <c r="F88" t="str">
        <f t="shared" si="5"/>
        <v>Mansi Kulkarni</v>
      </c>
      <c r="G88" t="s">
        <v>356</v>
      </c>
      <c r="H88" t="s">
        <v>370</v>
      </c>
      <c r="I88">
        <v>2</v>
      </c>
      <c r="J88">
        <v>110.05</v>
      </c>
      <c r="K88">
        <v>220.1</v>
      </c>
      <c r="L88">
        <f t="shared" si="6"/>
        <v>220.1</v>
      </c>
      <c r="M88" t="s">
        <v>376</v>
      </c>
      <c r="N88" t="str">
        <f t="shared" si="7"/>
        <v>Nagpur</v>
      </c>
      <c r="O88" t="s">
        <v>385</v>
      </c>
      <c r="P88" t="str">
        <f t="shared" si="8"/>
        <v>Cash</v>
      </c>
      <c r="Q88" t="s">
        <v>389</v>
      </c>
      <c r="R88">
        <f t="shared" si="9"/>
        <v>1</v>
      </c>
    </row>
    <row r="89" spans="1:18" x14ac:dyDescent="0.3">
      <c r="A89" t="s">
        <v>99</v>
      </c>
      <c r="B89" s="3">
        <v>46027</v>
      </c>
      <c r="C89" t="s">
        <v>331</v>
      </c>
      <c r="D89" t="s">
        <v>428</v>
      </c>
      <c r="E89" t="s">
        <v>349</v>
      </c>
      <c r="F89" t="str">
        <f t="shared" si="5"/>
        <v>Pooja Chavan</v>
      </c>
      <c r="G89" t="s">
        <v>355</v>
      </c>
      <c r="H89" t="s">
        <v>369</v>
      </c>
      <c r="I89">
        <v>4</v>
      </c>
      <c r="J89">
        <v>692.74</v>
      </c>
      <c r="K89">
        <v>2770.96</v>
      </c>
      <c r="L89">
        <f t="shared" si="6"/>
        <v>2770.96</v>
      </c>
      <c r="M89" t="s">
        <v>376</v>
      </c>
      <c r="N89" t="str">
        <f t="shared" si="7"/>
        <v>Nagpur</v>
      </c>
      <c r="O89" t="s">
        <v>385</v>
      </c>
      <c r="P89" t="str">
        <f t="shared" si="8"/>
        <v>Cash</v>
      </c>
      <c r="Q89" t="s">
        <v>389</v>
      </c>
      <c r="R89">
        <f t="shared" si="9"/>
        <v>2</v>
      </c>
    </row>
    <row r="90" spans="1:18" x14ac:dyDescent="0.3">
      <c r="A90" t="s">
        <v>100</v>
      </c>
      <c r="B90" s="3">
        <v>46117</v>
      </c>
      <c r="C90" t="s">
        <v>325</v>
      </c>
      <c r="D90" t="s">
        <v>420</v>
      </c>
      <c r="E90" t="s">
        <v>353</v>
      </c>
      <c r="F90" t="str">
        <f t="shared" si="5"/>
        <v>KAVYA JOSHI</v>
      </c>
      <c r="G90" t="s">
        <v>360</v>
      </c>
      <c r="H90" t="s">
        <v>371</v>
      </c>
      <c r="I90">
        <v>3</v>
      </c>
      <c r="J90">
        <v>1859.03</v>
      </c>
      <c r="K90">
        <v>5577.09</v>
      </c>
      <c r="L90">
        <f t="shared" si="6"/>
        <v>5577.09</v>
      </c>
      <c r="M90" t="s">
        <v>378</v>
      </c>
      <c r="N90" t="str">
        <f t="shared" si="7"/>
        <v>Thane</v>
      </c>
      <c r="O90" t="s">
        <v>385</v>
      </c>
      <c r="P90" t="str">
        <f t="shared" si="8"/>
        <v>Cash</v>
      </c>
      <c r="Q90" t="s">
        <v>389</v>
      </c>
      <c r="R90">
        <f t="shared" si="9"/>
        <v>2</v>
      </c>
    </row>
    <row r="91" spans="1:18" x14ac:dyDescent="0.3">
      <c r="A91" t="s">
        <v>101</v>
      </c>
      <c r="B91" s="3">
        <v>46139</v>
      </c>
      <c r="C91" t="s">
        <v>322</v>
      </c>
      <c r="D91" t="s">
        <v>428</v>
      </c>
      <c r="E91" t="s">
        <v>349</v>
      </c>
      <c r="F91" t="str">
        <f t="shared" si="5"/>
        <v>Pooja Chavan</v>
      </c>
      <c r="G91" t="s">
        <v>356</v>
      </c>
      <c r="H91" t="s">
        <v>370</v>
      </c>
      <c r="I91">
        <v>3</v>
      </c>
      <c r="J91">
        <v>116.44</v>
      </c>
      <c r="K91">
        <v>349.32</v>
      </c>
      <c r="L91">
        <f t="shared" si="6"/>
        <v>349.32</v>
      </c>
      <c r="M91" t="s">
        <v>377</v>
      </c>
      <c r="N91" t="str">
        <f t="shared" si="7"/>
        <v>Aurangabad</v>
      </c>
      <c r="O91" t="s">
        <v>384</v>
      </c>
      <c r="P91" t="str">
        <f t="shared" si="8"/>
        <v>Credit Card</v>
      </c>
      <c r="Q91" t="s">
        <v>390</v>
      </c>
      <c r="R91">
        <f t="shared" si="9"/>
        <v>2</v>
      </c>
    </row>
    <row r="92" spans="1:18" x14ac:dyDescent="0.3">
      <c r="A92" t="s">
        <v>102</v>
      </c>
      <c r="B92" s="3">
        <v>46213</v>
      </c>
      <c r="C92" t="s">
        <v>314</v>
      </c>
      <c r="D92" t="s">
        <v>429</v>
      </c>
      <c r="E92" t="s">
        <v>350</v>
      </c>
      <c r="F92" t="str">
        <f t="shared" si="5"/>
        <v>Priya Shah</v>
      </c>
      <c r="G92" t="s">
        <v>355</v>
      </c>
      <c r="H92" t="s">
        <v>369</v>
      </c>
      <c r="I92">
        <v>2</v>
      </c>
      <c r="J92">
        <v>674.18</v>
      </c>
      <c r="K92">
        <v>1348.36</v>
      </c>
      <c r="L92">
        <f t="shared" si="6"/>
        <v>1348.36</v>
      </c>
      <c r="M92" t="s">
        <v>376</v>
      </c>
      <c r="N92" t="str">
        <f t="shared" si="7"/>
        <v>Nagpur</v>
      </c>
      <c r="O92" t="s">
        <v>384</v>
      </c>
      <c r="P92" t="str">
        <f t="shared" si="8"/>
        <v>Credit Card</v>
      </c>
      <c r="Q92" t="s">
        <v>389</v>
      </c>
      <c r="R92">
        <f t="shared" si="9"/>
        <v>1</v>
      </c>
    </row>
    <row r="93" spans="1:18" x14ac:dyDescent="0.3">
      <c r="A93" t="s">
        <v>103</v>
      </c>
      <c r="B93" s="3">
        <v>46217</v>
      </c>
      <c r="C93" t="s">
        <v>326</v>
      </c>
      <c r="D93" t="s">
        <v>422</v>
      </c>
      <c r="E93" t="s">
        <v>343</v>
      </c>
      <c r="F93" t="str">
        <f t="shared" si="5"/>
        <v>Tanvi Shah</v>
      </c>
      <c r="G93" t="s">
        <v>368</v>
      </c>
      <c r="H93" t="s">
        <v>373</v>
      </c>
      <c r="I93">
        <v>3</v>
      </c>
      <c r="J93">
        <v>6791.96</v>
      </c>
      <c r="K93">
        <v>20375.88</v>
      </c>
      <c r="L93">
        <f t="shared" si="6"/>
        <v>20375.88</v>
      </c>
      <c r="M93" t="s">
        <v>377</v>
      </c>
      <c r="N93" t="str">
        <f t="shared" si="7"/>
        <v>Aurangabad</v>
      </c>
      <c r="O93" t="s">
        <v>383</v>
      </c>
      <c r="P93" t="str">
        <f t="shared" si="8"/>
        <v>UPI</v>
      </c>
      <c r="Q93" t="s">
        <v>390</v>
      </c>
      <c r="R93">
        <f t="shared" si="9"/>
        <v>1</v>
      </c>
    </row>
    <row r="94" spans="1:18" x14ac:dyDescent="0.3">
      <c r="A94" t="s">
        <v>104</v>
      </c>
      <c r="B94" s="3">
        <v>46100</v>
      </c>
      <c r="C94" t="s">
        <v>321</v>
      </c>
      <c r="D94" t="s">
        <v>420</v>
      </c>
      <c r="E94" t="s">
        <v>341</v>
      </c>
      <c r="F94" t="str">
        <f t="shared" si="5"/>
        <v>Kavya Joshi</v>
      </c>
      <c r="G94" t="s">
        <v>357</v>
      </c>
      <c r="H94" t="s">
        <v>371</v>
      </c>
      <c r="I94">
        <v>2</v>
      </c>
      <c r="J94">
        <v>874.96</v>
      </c>
      <c r="K94">
        <v>1749.92</v>
      </c>
      <c r="L94">
        <f t="shared" si="6"/>
        <v>1749.92</v>
      </c>
      <c r="M94" t="s">
        <v>374</v>
      </c>
      <c r="N94" t="str">
        <f t="shared" si="7"/>
        <v>Nashik</v>
      </c>
      <c r="O94" t="s">
        <v>387</v>
      </c>
      <c r="P94" t="str">
        <f t="shared" si="8"/>
        <v>Debit Card</v>
      </c>
      <c r="Q94" t="s">
        <v>390</v>
      </c>
      <c r="R94">
        <f t="shared" si="9"/>
        <v>2</v>
      </c>
    </row>
    <row r="95" spans="1:18" x14ac:dyDescent="0.3">
      <c r="A95" t="s">
        <v>105</v>
      </c>
      <c r="B95" s="3">
        <v>46264</v>
      </c>
      <c r="C95" t="s">
        <v>320</v>
      </c>
      <c r="D95" t="s">
        <v>424</v>
      </c>
      <c r="E95" t="s">
        <v>345</v>
      </c>
      <c r="F95" t="str">
        <f t="shared" si="5"/>
        <v>Mansi Kulkarni</v>
      </c>
      <c r="G95" t="s">
        <v>367</v>
      </c>
      <c r="H95" t="s">
        <v>371</v>
      </c>
      <c r="I95">
        <v>5</v>
      </c>
      <c r="J95">
        <v>43129.23</v>
      </c>
      <c r="K95">
        <v>215646.15</v>
      </c>
      <c r="L95">
        <f t="shared" si="6"/>
        <v>215646.15000000002</v>
      </c>
      <c r="M95" t="s">
        <v>375</v>
      </c>
      <c r="N95" t="str">
        <f t="shared" si="7"/>
        <v>Pune</v>
      </c>
      <c r="O95" t="s">
        <v>383</v>
      </c>
      <c r="P95" t="str">
        <f t="shared" si="8"/>
        <v>UPI</v>
      </c>
      <c r="Q95" t="s">
        <v>391</v>
      </c>
      <c r="R95">
        <f t="shared" si="9"/>
        <v>3</v>
      </c>
    </row>
    <row r="96" spans="1:18" x14ac:dyDescent="0.3">
      <c r="A96" t="s">
        <v>106</v>
      </c>
      <c r="B96" s="3">
        <v>46110</v>
      </c>
      <c r="C96" t="s">
        <v>328</v>
      </c>
      <c r="D96" t="s">
        <v>427</v>
      </c>
      <c r="E96" t="s">
        <v>348</v>
      </c>
      <c r="F96" t="str">
        <f t="shared" si="5"/>
        <v>Ananya Patil</v>
      </c>
      <c r="G96" t="s">
        <v>357</v>
      </c>
      <c r="H96" t="s">
        <v>371</v>
      </c>
      <c r="I96">
        <v>4</v>
      </c>
      <c r="J96">
        <v>896.17</v>
      </c>
      <c r="K96">
        <v>3584.68</v>
      </c>
      <c r="L96">
        <f t="shared" si="6"/>
        <v>3584.68</v>
      </c>
      <c r="M96" t="s">
        <v>377</v>
      </c>
      <c r="N96" t="str">
        <f t="shared" si="7"/>
        <v>Aurangabad</v>
      </c>
      <c r="O96" t="s">
        <v>385</v>
      </c>
      <c r="P96" t="str">
        <f t="shared" si="8"/>
        <v>Cash</v>
      </c>
      <c r="Q96" t="s">
        <v>390</v>
      </c>
      <c r="R96">
        <f t="shared" si="9"/>
        <v>1</v>
      </c>
    </row>
    <row r="97" spans="1:18" x14ac:dyDescent="0.3">
      <c r="A97" t="s">
        <v>107</v>
      </c>
      <c r="B97" s="3">
        <v>46041</v>
      </c>
      <c r="C97" t="s">
        <v>317</v>
      </c>
      <c r="D97" t="s">
        <v>427</v>
      </c>
      <c r="E97" t="s">
        <v>348</v>
      </c>
      <c r="F97" t="str">
        <f t="shared" si="5"/>
        <v>Ananya Patil</v>
      </c>
      <c r="G97" t="s">
        <v>359</v>
      </c>
      <c r="H97" t="s">
        <v>372</v>
      </c>
      <c r="I97">
        <v>1</v>
      </c>
      <c r="J97">
        <v>882.13</v>
      </c>
      <c r="K97">
        <v>882.13</v>
      </c>
      <c r="L97">
        <f t="shared" si="6"/>
        <v>882.13</v>
      </c>
      <c r="M97" t="s">
        <v>374</v>
      </c>
      <c r="N97" t="str">
        <f t="shared" si="7"/>
        <v>Nashik</v>
      </c>
      <c r="O97" t="s">
        <v>384</v>
      </c>
      <c r="P97" t="str">
        <f t="shared" si="8"/>
        <v>Credit Card</v>
      </c>
      <c r="Q97" t="s">
        <v>391</v>
      </c>
      <c r="R97">
        <f t="shared" si="9"/>
        <v>2</v>
      </c>
    </row>
    <row r="98" spans="1:18" x14ac:dyDescent="0.3">
      <c r="A98" t="s">
        <v>108</v>
      </c>
      <c r="B98" s="3">
        <v>46053</v>
      </c>
      <c r="C98" t="s">
        <v>314</v>
      </c>
      <c r="D98" t="s">
        <v>413</v>
      </c>
      <c r="E98" t="s">
        <v>334</v>
      </c>
      <c r="F98" t="str">
        <f t="shared" si="5"/>
        <v>Riya Desai</v>
      </c>
      <c r="G98" t="s">
        <v>357</v>
      </c>
      <c r="H98" t="s">
        <v>371</v>
      </c>
      <c r="I98">
        <v>1</v>
      </c>
      <c r="J98">
        <v>988.91</v>
      </c>
      <c r="K98">
        <v>988.91</v>
      </c>
      <c r="L98">
        <f t="shared" si="6"/>
        <v>988.91</v>
      </c>
      <c r="M98" t="s">
        <v>376</v>
      </c>
      <c r="N98" t="str">
        <f t="shared" si="7"/>
        <v>Nagpur</v>
      </c>
      <c r="O98" t="s">
        <v>386</v>
      </c>
      <c r="P98" t="str">
        <f t="shared" si="8"/>
        <v>Net Banking</v>
      </c>
      <c r="Q98" t="s">
        <v>390</v>
      </c>
      <c r="R98">
        <f t="shared" si="9"/>
        <v>2</v>
      </c>
    </row>
    <row r="99" spans="1:18" x14ac:dyDescent="0.3">
      <c r="A99" t="s">
        <v>109</v>
      </c>
      <c r="B99" s="3">
        <v>46173</v>
      </c>
      <c r="C99" t="s">
        <v>315</v>
      </c>
      <c r="D99" t="s">
        <v>428</v>
      </c>
      <c r="E99" t="s">
        <v>349</v>
      </c>
      <c r="F99" t="str">
        <f t="shared" si="5"/>
        <v>Pooja Chavan</v>
      </c>
      <c r="G99" t="s">
        <v>368</v>
      </c>
      <c r="H99" t="s">
        <v>373</v>
      </c>
      <c r="I99">
        <v>4</v>
      </c>
      <c r="J99">
        <v>6236.56</v>
      </c>
      <c r="K99">
        <v>24946.240000000002</v>
      </c>
      <c r="L99">
        <f t="shared" si="6"/>
        <v>24946.240000000002</v>
      </c>
      <c r="M99" t="s">
        <v>380</v>
      </c>
      <c r="N99" t="str">
        <f t="shared" si="7"/>
        <v>Mumbai</v>
      </c>
      <c r="O99" t="s">
        <v>386</v>
      </c>
      <c r="P99" t="str">
        <f t="shared" si="8"/>
        <v>Net Banking</v>
      </c>
      <c r="Q99" t="s">
        <v>389</v>
      </c>
      <c r="R99">
        <f t="shared" si="9"/>
        <v>1</v>
      </c>
    </row>
    <row r="100" spans="1:18" x14ac:dyDescent="0.3">
      <c r="A100" t="s">
        <v>110</v>
      </c>
      <c r="B100" s="3">
        <v>46090</v>
      </c>
      <c r="C100" t="s">
        <v>331</v>
      </c>
      <c r="D100" t="s">
        <v>429</v>
      </c>
      <c r="E100" t="s">
        <v>350</v>
      </c>
      <c r="F100" t="str">
        <f t="shared" si="5"/>
        <v>Priya Shah</v>
      </c>
      <c r="G100" t="s">
        <v>365</v>
      </c>
      <c r="H100" t="s">
        <v>371</v>
      </c>
      <c r="I100">
        <v>2</v>
      </c>
      <c r="J100">
        <v>28702.880000000001</v>
      </c>
      <c r="K100">
        <v>57405.760000000002</v>
      </c>
      <c r="L100">
        <f t="shared" si="6"/>
        <v>57405.760000000002</v>
      </c>
      <c r="M100" t="s">
        <v>376</v>
      </c>
      <c r="N100" t="str">
        <f t="shared" si="7"/>
        <v>Nagpur</v>
      </c>
      <c r="O100" t="s">
        <v>384</v>
      </c>
      <c r="P100" t="str">
        <f t="shared" si="8"/>
        <v>Credit Card</v>
      </c>
      <c r="Q100" t="s">
        <v>391</v>
      </c>
      <c r="R100">
        <f t="shared" si="9"/>
        <v>1</v>
      </c>
    </row>
    <row r="101" spans="1:18" x14ac:dyDescent="0.3">
      <c r="A101" t="s">
        <v>111</v>
      </c>
      <c r="B101" s="3">
        <v>46138</v>
      </c>
      <c r="C101" t="s">
        <v>323</v>
      </c>
      <c r="D101" t="s">
        <v>424</v>
      </c>
      <c r="E101" t="s">
        <v>345</v>
      </c>
      <c r="F101" t="str">
        <f t="shared" si="5"/>
        <v>Mansi Kulkarni</v>
      </c>
      <c r="G101" t="s">
        <v>365</v>
      </c>
      <c r="H101" t="s">
        <v>371</v>
      </c>
      <c r="I101">
        <v>2</v>
      </c>
      <c r="J101">
        <v>25214.98</v>
      </c>
      <c r="K101">
        <v>50429.96</v>
      </c>
      <c r="L101">
        <f t="shared" si="6"/>
        <v>50429.96</v>
      </c>
      <c r="M101" t="s">
        <v>377</v>
      </c>
      <c r="N101" t="str">
        <f t="shared" si="7"/>
        <v>Aurangabad</v>
      </c>
      <c r="O101" t="s">
        <v>383</v>
      </c>
      <c r="P101" t="str">
        <f t="shared" si="8"/>
        <v>UPI</v>
      </c>
      <c r="Q101" t="s">
        <v>390</v>
      </c>
      <c r="R101">
        <f t="shared" si="9"/>
        <v>2</v>
      </c>
    </row>
    <row r="102" spans="1:18" x14ac:dyDescent="0.3">
      <c r="A102" t="s">
        <v>112</v>
      </c>
      <c r="B102" s="3">
        <v>46139</v>
      </c>
      <c r="C102" t="s">
        <v>331</v>
      </c>
      <c r="D102" t="s">
        <v>411</v>
      </c>
      <c r="E102" t="s">
        <v>332</v>
      </c>
      <c r="F102" t="str">
        <f t="shared" si="5"/>
        <v>Neha Pawar</v>
      </c>
      <c r="G102" t="s">
        <v>357</v>
      </c>
      <c r="H102" t="s">
        <v>371</v>
      </c>
      <c r="I102">
        <v>3</v>
      </c>
      <c r="J102">
        <v>936.54</v>
      </c>
      <c r="K102">
        <v>2809.62</v>
      </c>
      <c r="L102">
        <f t="shared" si="6"/>
        <v>2809.62</v>
      </c>
      <c r="M102" t="s">
        <v>377</v>
      </c>
      <c r="N102" t="str">
        <f t="shared" si="7"/>
        <v>Aurangabad</v>
      </c>
      <c r="O102" t="s">
        <v>386</v>
      </c>
      <c r="P102" t="str">
        <f t="shared" si="8"/>
        <v>Net Banking</v>
      </c>
      <c r="Q102" t="s">
        <v>389</v>
      </c>
      <c r="R102">
        <f t="shared" si="9"/>
        <v>1</v>
      </c>
    </row>
    <row r="103" spans="1:18" x14ac:dyDescent="0.3">
      <c r="A103" t="s">
        <v>113</v>
      </c>
      <c r="B103" s="3">
        <v>46162</v>
      </c>
      <c r="C103" t="s">
        <v>312</v>
      </c>
      <c r="D103" t="s">
        <v>430</v>
      </c>
      <c r="E103" t="s">
        <v>351</v>
      </c>
      <c r="F103" t="str">
        <f t="shared" si="5"/>
        <v>Vivek Joshi</v>
      </c>
      <c r="G103" t="s">
        <v>358</v>
      </c>
      <c r="H103" t="s">
        <v>372</v>
      </c>
      <c r="I103">
        <v>2</v>
      </c>
      <c r="J103">
        <v>3152.09</v>
      </c>
      <c r="K103">
        <v>6304.18</v>
      </c>
      <c r="L103">
        <f t="shared" si="6"/>
        <v>6304.18</v>
      </c>
      <c r="M103" t="s">
        <v>377</v>
      </c>
      <c r="N103" t="str">
        <f t="shared" si="7"/>
        <v>Aurangabad</v>
      </c>
      <c r="O103" t="s">
        <v>384</v>
      </c>
      <c r="P103" t="str">
        <f t="shared" si="8"/>
        <v>Credit Card</v>
      </c>
      <c r="Q103" t="s">
        <v>390</v>
      </c>
      <c r="R103">
        <f t="shared" si="9"/>
        <v>2</v>
      </c>
    </row>
    <row r="104" spans="1:18" x14ac:dyDescent="0.3">
      <c r="A104" t="s">
        <v>114</v>
      </c>
      <c r="B104" s="3">
        <v>46175</v>
      </c>
      <c r="C104" t="s">
        <v>317</v>
      </c>
      <c r="D104" t="s">
        <v>428</v>
      </c>
      <c r="E104" t="s">
        <v>349</v>
      </c>
      <c r="F104" t="str">
        <f t="shared" si="5"/>
        <v>Pooja Chavan</v>
      </c>
      <c r="G104" t="s">
        <v>367</v>
      </c>
      <c r="H104" t="s">
        <v>371</v>
      </c>
      <c r="I104">
        <v>2</v>
      </c>
      <c r="J104">
        <v>47633.66</v>
      </c>
      <c r="K104">
        <v>95267.32</v>
      </c>
      <c r="L104">
        <f t="shared" si="6"/>
        <v>95267.32</v>
      </c>
      <c r="M104" t="s">
        <v>381</v>
      </c>
      <c r="N104" t="str">
        <f t="shared" si="7"/>
        <v>Kolhapur</v>
      </c>
      <c r="O104" t="s">
        <v>383</v>
      </c>
      <c r="P104" t="str">
        <f t="shared" si="8"/>
        <v>UPI</v>
      </c>
      <c r="Q104" t="s">
        <v>390</v>
      </c>
      <c r="R104">
        <f t="shared" si="9"/>
        <v>1</v>
      </c>
    </row>
    <row r="105" spans="1:18" x14ac:dyDescent="0.3">
      <c r="A105" t="s">
        <v>115</v>
      </c>
      <c r="B105" s="3">
        <v>46264</v>
      </c>
      <c r="C105" t="s">
        <v>322</v>
      </c>
      <c r="D105" t="s">
        <v>421</v>
      </c>
      <c r="E105" t="s">
        <v>342</v>
      </c>
      <c r="F105" t="str">
        <f t="shared" si="5"/>
        <v>Nikhil Pawar</v>
      </c>
      <c r="G105" t="s">
        <v>355</v>
      </c>
      <c r="H105" t="s">
        <v>369</v>
      </c>
      <c r="I105">
        <v>3</v>
      </c>
      <c r="J105">
        <v>727.96</v>
      </c>
      <c r="K105">
        <v>2183.88</v>
      </c>
      <c r="L105">
        <f t="shared" si="6"/>
        <v>2183.88</v>
      </c>
      <c r="M105" t="s">
        <v>381</v>
      </c>
      <c r="N105" t="str">
        <f t="shared" si="7"/>
        <v>Kolhapur</v>
      </c>
      <c r="O105" t="s">
        <v>385</v>
      </c>
      <c r="P105" t="str">
        <f t="shared" si="8"/>
        <v>Cash</v>
      </c>
      <c r="Q105" t="s">
        <v>390</v>
      </c>
      <c r="R105">
        <f t="shared" si="9"/>
        <v>3</v>
      </c>
    </row>
    <row r="106" spans="1:18" x14ac:dyDescent="0.3">
      <c r="A106" t="s">
        <v>116</v>
      </c>
      <c r="B106" s="3">
        <v>46211</v>
      </c>
      <c r="C106" t="s">
        <v>324</v>
      </c>
      <c r="D106" t="s">
        <v>422</v>
      </c>
      <c r="E106" t="s">
        <v>343</v>
      </c>
      <c r="F106" t="str">
        <f t="shared" si="5"/>
        <v>Tanvi Shah</v>
      </c>
      <c r="G106" t="s">
        <v>363</v>
      </c>
      <c r="H106" t="s">
        <v>370</v>
      </c>
      <c r="I106">
        <v>1</v>
      </c>
      <c r="J106">
        <v>269.47000000000003</v>
      </c>
      <c r="K106">
        <v>269.47000000000003</v>
      </c>
      <c r="L106">
        <f t="shared" si="6"/>
        <v>269.47000000000003</v>
      </c>
      <c r="M106" t="s">
        <v>377</v>
      </c>
      <c r="N106" t="str">
        <f t="shared" si="7"/>
        <v>Aurangabad</v>
      </c>
      <c r="O106" t="s">
        <v>383</v>
      </c>
      <c r="P106" t="str">
        <f t="shared" si="8"/>
        <v>UPI</v>
      </c>
      <c r="Q106" t="s">
        <v>390</v>
      </c>
      <c r="R106">
        <f t="shared" si="9"/>
        <v>1</v>
      </c>
    </row>
    <row r="107" spans="1:18" x14ac:dyDescent="0.3">
      <c r="A107" t="s">
        <v>117</v>
      </c>
      <c r="B107" s="3">
        <v>46028</v>
      </c>
      <c r="C107" t="s">
        <v>322</v>
      </c>
      <c r="D107" t="s">
        <v>426</v>
      </c>
      <c r="E107" t="s">
        <v>347</v>
      </c>
      <c r="F107" t="str">
        <f t="shared" si="5"/>
        <v>Omkar More</v>
      </c>
      <c r="G107" t="s">
        <v>360</v>
      </c>
      <c r="H107" t="s">
        <v>371</v>
      </c>
      <c r="I107">
        <v>5</v>
      </c>
      <c r="J107">
        <v>1831.36</v>
      </c>
      <c r="K107">
        <v>9156.7999999999993</v>
      </c>
      <c r="L107">
        <f t="shared" si="6"/>
        <v>9156.7999999999993</v>
      </c>
      <c r="M107" t="s">
        <v>380</v>
      </c>
      <c r="N107" t="str">
        <f t="shared" si="7"/>
        <v>Mumbai</v>
      </c>
      <c r="O107" t="s">
        <v>384</v>
      </c>
      <c r="P107" t="str">
        <f t="shared" si="8"/>
        <v>Credit Card</v>
      </c>
      <c r="Q107" t="s">
        <v>390</v>
      </c>
      <c r="R107">
        <f t="shared" si="9"/>
        <v>2</v>
      </c>
    </row>
    <row r="108" spans="1:18" x14ac:dyDescent="0.3">
      <c r="A108" t="s">
        <v>118</v>
      </c>
      <c r="B108" s="3">
        <v>46069</v>
      </c>
      <c r="C108" t="s">
        <v>317</v>
      </c>
      <c r="D108" t="s">
        <v>413</v>
      </c>
      <c r="E108" t="s">
        <v>334</v>
      </c>
      <c r="F108" t="str">
        <f t="shared" si="5"/>
        <v>Riya Desai</v>
      </c>
      <c r="G108" t="s">
        <v>356</v>
      </c>
      <c r="H108" t="s">
        <v>370</v>
      </c>
      <c r="I108">
        <v>4</v>
      </c>
      <c r="J108">
        <v>129.99</v>
      </c>
      <c r="K108">
        <v>519.96</v>
      </c>
      <c r="L108">
        <f t="shared" si="6"/>
        <v>519.96</v>
      </c>
      <c r="M108" t="s">
        <v>381</v>
      </c>
      <c r="N108" t="str">
        <f t="shared" si="7"/>
        <v>Kolhapur</v>
      </c>
      <c r="O108" t="s">
        <v>383</v>
      </c>
      <c r="P108" t="str">
        <f t="shared" si="8"/>
        <v>UPI</v>
      </c>
      <c r="Q108" t="s">
        <v>390</v>
      </c>
      <c r="R108">
        <f t="shared" si="9"/>
        <v>1</v>
      </c>
    </row>
    <row r="109" spans="1:18" x14ac:dyDescent="0.3">
      <c r="A109" t="s">
        <v>119</v>
      </c>
      <c r="B109" s="3">
        <v>46194</v>
      </c>
      <c r="C109" t="s">
        <v>316</v>
      </c>
      <c r="D109" t="s">
        <v>429</v>
      </c>
      <c r="E109" t="s">
        <v>350</v>
      </c>
      <c r="F109" t="str">
        <f t="shared" si="5"/>
        <v>Priya Shah</v>
      </c>
      <c r="G109" t="s">
        <v>364</v>
      </c>
      <c r="H109" t="s">
        <v>373</v>
      </c>
      <c r="I109">
        <v>4</v>
      </c>
      <c r="J109">
        <v>8216.6200000000008</v>
      </c>
      <c r="K109">
        <v>32866.480000000003</v>
      </c>
      <c r="L109">
        <f t="shared" si="6"/>
        <v>32866.480000000003</v>
      </c>
      <c r="M109" t="s">
        <v>378</v>
      </c>
      <c r="N109" t="str">
        <f t="shared" si="7"/>
        <v>Thane</v>
      </c>
      <c r="O109" t="s">
        <v>385</v>
      </c>
      <c r="P109" t="str">
        <f t="shared" si="8"/>
        <v>Cash</v>
      </c>
      <c r="Q109" t="s">
        <v>389</v>
      </c>
      <c r="R109">
        <f t="shared" si="9"/>
        <v>1</v>
      </c>
    </row>
    <row r="110" spans="1:18" x14ac:dyDescent="0.3">
      <c r="A110" t="s">
        <v>120</v>
      </c>
      <c r="B110" s="3">
        <v>46125</v>
      </c>
      <c r="C110" t="s">
        <v>314</v>
      </c>
      <c r="D110" t="s">
        <v>427</v>
      </c>
      <c r="E110" t="s">
        <v>348</v>
      </c>
      <c r="F110" t="str">
        <f t="shared" si="5"/>
        <v>Ananya Patil</v>
      </c>
      <c r="G110" t="s">
        <v>368</v>
      </c>
      <c r="H110" t="s">
        <v>373</v>
      </c>
      <c r="I110">
        <v>3</v>
      </c>
      <c r="J110">
        <v>6711.36</v>
      </c>
      <c r="K110">
        <v>20134.080000000002</v>
      </c>
      <c r="L110">
        <f t="shared" si="6"/>
        <v>20134.079999999998</v>
      </c>
      <c r="M110" t="s">
        <v>381</v>
      </c>
      <c r="N110" t="str">
        <f t="shared" si="7"/>
        <v>Kolhapur</v>
      </c>
      <c r="O110" t="s">
        <v>383</v>
      </c>
      <c r="P110" t="str">
        <f t="shared" si="8"/>
        <v>UPI</v>
      </c>
      <c r="Q110" t="s">
        <v>390</v>
      </c>
      <c r="R110">
        <f t="shared" si="9"/>
        <v>1</v>
      </c>
    </row>
    <row r="111" spans="1:18" x14ac:dyDescent="0.3">
      <c r="A111" t="s">
        <v>121</v>
      </c>
      <c r="B111" s="3">
        <v>46220</v>
      </c>
      <c r="C111" t="s">
        <v>329</v>
      </c>
      <c r="D111" t="s">
        <v>421</v>
      </c>
      <c r="E111" t="s">
        <v>342</v>
      </c>
      <c r="F111" t="str">
        <f t="shared" si="5"/>
        <v>Nikhil Pawar</v>
      </c>
      <c r="G111" t="s">
        <v>357</v>
      </c>
      <c r="H111" t="s">
        <v>371</v>
      </c>
      <c r="I111">
        <v>3</v>
      </c>
      <c r="J111">
        <v>830.87</v>
      </c>
      <c r="K111">
        <v>2492.61</v>
      </c>
      <c r="L111">
        <f t="shared" si="6"/>
        <v>2492.61</v>
      </c>
      <c r="M111" t="s">
        <v>380</v>
      </c>
      <c r="N111" t="str">
        <f t="shared" si="7"/>
        <v>Mumbai</v>
      </c>
      <c r="O111" t="s">
        <v>386</v>
      </c>
      <c r="P111" t="str">
        <f t="shared" si="8"/>
        <v>Net Banking</v>
      </c>
      <c r="Q111" t="s">
        <v>390</v>
      </c>
      <c r="R111">
        <f t="shared" si="9"/>
        <v>2</v>
      </c>
    </row>
    <row r="112" spans="1:18" x14ac:dyDescent="0.3">
      <c r="A112" t="s">
        <v>122</v>
      </c>
      <c r="B112" s="3">
        <v>46115</v>
      </c>
      <c r="C112" t="s">
        <v>323</v>
      </c>
      <c r="D112" t="s">
        <v>424</v>
      </c>
      <c r="E112" t="s">
        <v>345</v>
      </c>
      <c r="F112" t="str">
        <f t="shared" si="5"/>
        <v>Mansi Kulkarni</v>
      </c>
      <c r="G112" t="s">
        <v>366</v>
      </c>
      <c r="H112" t="s">
        <v>373</v>
      </c>
      <c r="I112">
        <v>1</v>
      </c>
      <c r="J112">
        <v>11250.2</v>
      </c>
      <c r="K112">
        <v>11250.2</v>
      </c>
      <c r="L112">
        <f t="shared" si="6"/>
        <v>11250.2</v>
      </c>
      <c r="M112" t="s">
        <v>381</v>
      </c>
      <c r="N112" t="str">
        <f t="shared" si="7"/>
        <v>Kolhapur</v>
      </c>
      <c r="O112" t="s">
        <v>383</v>
      </c>
      <c r="P112" t="str">
        <f t="shared" si="8"/>
        <v>UPI</v>
      </c>
      <c r="Q112" t="s">
        <v>390</v>
      </c>
      <c r="R112">
        <f t="shared" si="9"/>
        <v>2</v>
      </c>
    </row>
    <row r="113" spans="1:18" x14ac:dyDescent="0.3">
      <c r="A113" t="s">
        <v>123</v>
      </c>
      <c r="B113" s="3">
        <v>46096</v>
      </c>
      <c r="C113" t="s">
        <v>319</v>
      </c>
      <c r="D113" t="s">
        <v>424</v>
      </c>
      <c r="E113" t="s">
        <v>345</v>
      </c>
      <c r="F113" t="str">
        <f t="shared" si="5"/>
        <v>Mansi Kulkarni</v>
      </c>
      <c r="G113" t="s">
        <v>357</v>
      </c>
      <c r="H113" t="s">
        <v>371</v>
      </c>
      <c r="I113">
        <v>5</v>
      </c>
      <c r="J113">
        <v>833.58</v>
      </c>
      <c r="K113">
        <v>4167.8999999999996</v>
      </c>
      <c r="L113">
        <f t="shared" si="6"/>
        <v>4167.9000000000005</v>
      </c>
      <c r="M113" t="s">
        <v>375</v>
      </c>
      <c r="N113" t="str">
        <f t="shared" si="7"/>
        <v>Pune</v>
      </c>
      <c r="O113" t="s">
        <v>383</v>
      </c>
      <c r="P113" t="str">
        <f t="shared" si="8"/>
        <v>UPI</v>
      </c>
      <c r="Q113" t="s">
        <v>389</v>
      </c>
      <c r="R113">
        <f t="shared" si="9"/>
        <v>2</v>
      </c>
    </row>
    <row r="114" spans="1:18" x14ac:dyDescent="0.3">
      <c r="A114" t="s">
        <v>124</v>
      </c>
      <c r="B114" s="3">
        <v>46102</v>
      </c>
      <c r="C114" t="s">
        <v>314</v>
      </c>
      <c r="D114" t="s">
        <v>412</v>
      </c>
      <c r="E114" t="s">
        <v>333</v>
      </c>
      <c r="F114" t="str">
        <f t="shared" si="5"/>
        <v>Aarav Sharma</v>
      </c>
      <c r="G114" t="s">
        <v>363</v>
      </c>
      <c r="H114" t="s">
        <v>370</v>
      </c>
      <c r="I114">
        <v>2</v>
      </c>
      <c r="J114">
        <v>260.49</v>
      </c>
      <c r="K114">
        <v>520.98</v>
      </c>
      <c r="L114">
        <f t="shared" si="6"/>
        <v>520.98</v>
      </c>
      <c r="M114" t="s">
        <v>379</v>
      </c>
      <c r="N114" t="str">
        <f t="shared" si="7"/>
        <v>Navi Mumbai</v>
      </c>
      <c r="O114" t="s">
        <v>383</v>
      </c>
      <c r="P114" t="str">
        <f t="shared" si="8"/>
        <v>UPI</v>
      </c>
      <c r="Q114" t="s">
        <v>390</v>
      </c>
      <c r="R114">
        <f t="shared" si="9"/>
        <v>4</v>
      </c>
    </row>
    <row r="115" spans="1:18" x14ac:dyDescent="0.3">
      <c r="A115" t="s">
        <v>125</v>
      </c>
      <c r="B115" s="3">
        <v>46053</v>
      </c>
      <c r="C115" t="s">
        <v>320</v>
      </c>
      <c r="D115" t="s">
        <v>424</v>
      </c>
      <c r="E115" t="s">
        <v>345</v>
      </c>
      <c r="F115" t="str">
        <f t="shared" si="5"/>
        <v>Mansi Kulkarni</v>
      </c>
      <c r="G115" t="s">
        <v>359</v>
      </c>
      <c r="H115" t="s">
        <v>372</v>
      </c>
      <c r="I115">
        <v>1</v>
      </c>
      <c r="J115">
        <v>893.06</v>
      </c>
      <c r="K115">
        <v>893.06</v>
      </c>
      <c r="L115">
        <f t="shared" si="6"/>
        <v>893.06</v>
      </c>
      <c r="M115" t="s">
        <v>377</v>
      </c>
      <c r="N115" t="str">
        <f t="shared" si="7"/>
        <v>Aurangabad</v>
      </c>
      <c r="O115" t="s">
        <v>386</v>
      </c>
      <c r="P115" t="str">
        <f t="shared" si="8"/>
        <v>Net Banking</v>
      </c>
      <c r="Q115" t="s">
        <v>389</v>
      </c>
      <c r="R115">
        <f t="shared" si="9"/>
        <v>3</v>
      </c>
    </row>
    <row r="116" spans="1:18" x14ac:dyDescent="0.3">
      <c r="A116" t="s">
        <v>126</v>
      </c>
      <c r="B116" s="3">
        <v>46143</v>
      </c>
      <c r="C116" t="s">
        <v>312</v>
      </c>
      <c r="D116" t="s">
        <v>431</v>
      </c>
      <c r="E116" t="s">
        <v>352</v>
      </c>
      <c r="F116" t="str">
        <f t="shared" si="5"/>
        <v>Akash Shinde</v>
      </c>
      <c r="G116" t="s">
        <v>357</v>
      </c>
      <c r="H116" t="s">
        <v>371</v>
      </c>
      <c r="I116">
        <v>4</v>
      </c>
      <c r="J116">
        <v>960.25</v>
      </c>
      <c r="K116">
        <v>3841</v>
      </c>
      <c r="L116">
        <f t="shared" si="6"/>
        <v>3841</v>
      </c>
      <c r="M116" t="s">
        <v>374</v>
      </c>
      <c r="N116" t="str">
        <f t="shared" si="7"/>
        <v>Nashik</v>
      </c>
      <c r="O116" t="s">
        <v>385</v>
      </c>
      <c r="P116" t="str">
        <f t="shared" si="8"/>
        <v>Cash</v>
      </c>
      <c r="Q116" t="s">
        <v>390</v>
      </c>
      <c r="R116">
        <f t="shared" si="9"/>
        <v>1</v>
      </c>
    </row>
    <row r="117" spans="1:18" x14ac:dyDescent="0.3">
      <c r="A117" t="s">
        <v>127</v>
      </c>
      <c r="B117" s="3">
        <v>46248</v>
      </c>
      <c r="C117" t="s">
        <v>320</v>
      </c>
      <c r="D117" t="s">
        <v>425</v>
      </c>
      <c r="E117" t="s">
        <v>346</v>
      </c>
      <c r="F117" t="str">
        <f t="shared" si="5"/>
        <v>Rohan Deshmukh</v>
      </c>
      <c r="G117" t="s">
        <v>362</v>
      </c>
      <c r="H117" t="s">
        <v>372</v>
      </c>
      <c r="I117">
        <v>5</v>
      </c>
      <c r="J117">
        <v>2203.63</v>
      </c>
      <c r="K117">
        <v>11018.15</v>
      </c>
      <c r="L117">
        <f t="shared" si="6"/>
        <v>11018.150000000001</v>
      </c>
      <c r="M117" t="s">
        <v>377</v>
      </c>
      <c r="N117" t="str">
        <f t="shared" si="7"/>
        <v>Aurangabad</v>
      </c>
      <c r="O117" t="s">
        <v>385</v>
      </c>
      <c r="P117" t="str">
        <f t="shared" si="8"/>
        <v>Cash</v>
      </c>
      <c r="Q117" t="s">
        <v>390</v>
      </c>
      <c r="R117">
        <f t="shared" si="9"/>
        <v>2</v>
      </c>
    </row>
    <row r="118" spans="1:18" x14ac:dyDescent="0.3">
      <c r="A118" t="s">
        <v>128</v>
      </c>
      <c r="B118" s="3">
        <v>46023</v>
      </c>
      <c r="C118" t="s">
        <v>330</v>
      </c>
      <c r="D118" t="s">
        <v>428</v>
      </c>
      <c r="E118" t="s">
        <v>349</v>
      </c>
      <c r="F118" t="str">
        <f t="shared" si="5"/>
        <v>Pooja Chavan</v>
      </c>
      <c r="G118" t="s">
        <v>362</v>
      </c>
      <c r="H118" t="s">
        <v>372</v>
      </c>
      <c r="I118">
        <v>5</v>
      </c>
      <c r="J118">
        <v>2097.56</v>
      </c>
      <c r="K118">
        <v>10487.8</v>
      </c>
      <c r="L118">
        <f t="shared" si="6"/>
        <v>10487.8</v>
      </c>
      <c r="M118" t="s">
        <v>381</v>
      </c>
      <c r="N118" t="str">
        <f t="shared" si="7"/>
        <v>Kolhapur</v>
      </c>
      <c r="O118" t="s">
        <v>384</v>
      </c>
      <c r="P118" t="str">
        <f t="shared" si="8"/>
        <v>Credit Card</v>
      </c>
      <c r="Q118" t="s">
        <v>390</v>
      </c>
      <c r="R118">
        <f t="shared" si="9"/>
        <v>3</v>
      </c>
    </row>
    <row r="119" spans="1:18" x14ac:dyDescent="0.3">
      <c r="A119" t="s">
        <v>129</v>
      </c>
      <c r="B119" s="3">
        <v>46164</v>
      </c>
      <c r="C119" t="s">
        <v>314</v>
      </c>
      <c r="D119" t="s">
        <v>416</v>
      </c>
      <c r="E119" t="s">
        <v>337</v>
      </c>
      <c r="F119" t="str">
        <f t="shared" si="5"/>
        <v>Siddharth Patil</v>
      </c>
      <c r="G119" t="s">
        <v>356</v>
      </c>
      <c r="H119" t="s">
        <v>370</v>
      </c>
      <c r="I119">
        <v>4</v>
      </c>
      <c r="J119">
        <v>116.28</v>
      </c>
      <c r="K119">
        <v>465.12</v>
      </c>
      <c r="L119">
        <f t="shared" si="6"/>
        <v>465.12</v>
      </c>
      <c r="M119" t="s">
        <v>381</v>
      </c>
      <c r="N119" t="str">
        <f t="shared" si="7"/>
        <v>Kolhapur</v>
      </c>
      <c r="O119" t="s">
        <v>387</v>
      </c>
      <c r="P119" t="str">
        <f t="shared" si="8"/>
        <v>Debit Card</v>
      </c>
      <c r="Q119" t="s">
        <v>390</v>
      </c>
      <c r="R119">
        <f t="shared" si="9"/>
        <v>1</v>
      </c>
    </row>
    <row r="120" spans="1:18" x14ac:dyDescent="0.3">
      <c r="A120" t="s">
        <v>130</v>
      </c>
      <c r="B120" s="3">
        <v>46082</v>
      </c>
      <c r="C120" t="s">
        <v>315</v>
      </c>
      <c r="D120" t="s">
        <v>427</v>
      </c>
      <c r="E120" t="s">
        <v>348</v>
      </c>
      <c r="F120" t="str">
        <f t="shared" si="5"/>
        <v>Ananya Patil</v>
      </c>
      <c r="G120" t="s">
        <v>355</v>
      </c>
      <c r="H120" t="s">
        <v>369</v>
      </c>
      <c r="I120">
        <v>2</v>
      </c>
      <c r="J120">
        <v>710.05</v>
      </c>
      <c r="K120">
        <v>1420.1</v>
      </c>
      <c r="L120">
        <f t="shared" si="6"/>
        <v>1420.1</v>
      </c>
      <c r="M120" t="s">
        <v>378</v>
      </c>
      <c r="N120" t="str">
        <f t="shared" si="7"/>
        <v>Thane</v>
      </c>
      <c r="O120" t="s">
        <v>385</v>
      </c>
      <c r="P120" t="str">
        <f t="shared" si="8"/>
        <v>Cash</v>
      </c>
      <c r="Q120" t="s">
        <v>389</v>
      </c>
      <c r="R120">
        <f t="shared" si="9"/>
        <v>2</v>
      </c>
    </row>
    <row r="121" spans="1:18" x14ac:dyDescent="0.3">
      <c r="A121" t="s">
        <v>131</v>
      </c>
      <c r="B121" s="3">
        <v>46192</v>
      </c>
      <c r="C121" t="s">
        <v>320</v>
      </c>
      <c r="D121" t="s">
        <v>424</v>
      </c>
      <c r="E121" t="s">
        <v>345</v>
      </c>
      <c r="F121" t="str">
        <f t="shared" si="5"/>
        <v>Mansi Kulkarni</v>
      </c>
      <c r="G121" t="s">
        <v>362</v>
      </c>
      <c r="H121" t="s">
        <v>372</v>
      </c>
      <c r="I121">
        <v>4</v>
      </c>
      <c r="J121">
        <v>2149.87</v>
      </c>
      <c r="K121">
        <v>8599.48</v>
      </c>
      <c r="L121">
        <f t="shared" si="6"/>
        <v>8599.48</v>
      </c>
      <c r="M121" t="s">
        <v>380</v>
      </c>
      <c r="N121" t="str">
        <f t="shared" si="7"/>
        <v>Mumbai</v>
      </c>
      <c r="O121" t="s">
        <v>384</v>
      </c>
      <c r="P121" t="str">
        <f t="shared" si="8"/>
        <v>Credit Card</v>
      </c>
      <c r="Q121" t="s">
        <v>391</v>
      </c>
      <c r="R121">
        <f t="shared" si="9"/>
        <v>3</v>
      </c>
    </row>
    <row r="122" spans="1:18" x14ac:dyDescent="0.3">
      <c r="A122" t="s">
        <v>132</v>
      </c>
      <c r="B122" s="3">
        <v>46246</v>
      </c>
      <c r="C122" t="s">
        <v>319</v>
      </c>
      <c r="D122" t="s">
        <v>423</v>
      </c>
      <c r="E122" t="s">
        <v>344</v>
      </c>
      <c r="F122" t="str">
        <f t="shared" si="5"/>
        <v>Sneha Kulkarni</v>
      </c>
      <c r="G122" t="s">
        <v>363</v>
      </c>
      <c r="H122" t="s">
        <v>370</v>
      </c>
      <c r="I122">
        <v>3</v>
      </c>
      <c r="J122">
        <v>268.49</v>
      </c>
      <c r="K122">
        <v>805.47</v>
      </c>
      <c r="L122">
        <f t="shared" si="6"/>
        <v>805.47</v>
      </c>
      <c r="M122" t="s">
        <v>381</v>
      </c>
      <c r="N122" t="str">
        <f t="shared" si="7"/>
        <v>Kolhapur</v>
      </c>
      <c r="O122" t="s">
        <v>383</v>
      </c>
      <c r="P122" t="str">
        <f t="shared" si="8"/>
        <v>UPI</v>
      </c>
      <c r="Q122" t="s">
        <v>389</v>
      </c>
      <c r="R122">
        <f t="shared" si="9"/>
        <v>3</v>
      </c>
    </row>
    <row r="123" spans="1:18" x14ac:dyDescent="0.3">
      <c r="A123" t="s">
        <v>133</v>
      </c>
      <c r="B123" s="3">
        <v>46062</v>
      </c>
      <c r="C123" t="s">
        <v>331</v>
      </c>
      <c r="D123" t="s">
        <v>424</v>
      </c>
      <c r="E123" t="s">
        <v>345</v>
      </c>
      <c r="F123" t="str">
        <f t="shared" si="5"/>
        <v>Mansi Kulkarni</v>
      </c>
      <c r="G123" t="s">
        <v>361</v>
      </c>
      <c r="H123" t="s">
        <v>371</v>
      </c>
      <c r="I123">
        <v>4</v>
      </c>
      <c r="J123">
        <v>2685.47</v>
      </c>
      <c r="K123">
        <v>10741.88</v>
      </c>
      <c r="L123">
        <f t="shared" si="6"/>
        <v>10741.88</v>
      </c>
      <c r="M123" t="s">
        <v>377</v>
      </c>
      <c r="N123" t="str">
        <f t="shared" si="7"/>
        <v>Aurangabad</v>
      </c>
      <c r="O123" t="s">
        <v>387</v>
      </c>
      <c r="P123" t="str">
        <f t="shared" si="8"/>
        <v>Debit Card</v>
      </c>
      <c r="Q123" t="s">
        <v>391</v>
      </c>
      <c r="R123">
        <f t="shared" si="9"/>
        <v>1</v>
      </c>
    </row>
    <row r="124" spans="1:18" x14ac:dyDescent="0.3">
      <c r="A124" t="s">
        <v>134</v>
      </c>
      <c r="B124" s="3">
        <v>46241</v>
      </c>
      <c r="C124" t="s">
        <v>324</v>
      </c>
      <c r="D124" t="s">
        <v>420</v>
      </c>
      <c r="E124" t="s">
        <v>341</v>
      </c>
      <c r="F124" t="str">
        <f t="shared" si="5"/>
        <v>Kavya Joshi</v>
      </c>
      <c r="G124" t="s">
        <v>355</v>
      </c>
      <c r="H124" t="s">
        <v>369</v>
      </c>
      <c r="I124">
        <v>4</v>
      </c>
      <c r="J124">
        <v>720.98</v>
      </c>
      <c r="K124">
        <v>2883.92</v>
      </c>
      <c r="L124">
        <f t="shared" si="6"/>
        <v>2883.92</v>
      </c>
      <c r="M124" t="s">
        <v>379</v>
      </c>
      <c r="N124" t="str">
        <f t="shared" si="7"/>
        <v>Navi Mumbai</v>
      </c>
      <c r="O124" t="s">
        <v>387</v>
      </c>
      <c r="P124" t="str">
        <f t="shared" si="8"/>
        <v>Debit Card</v>
      </c>
      <c r="Q124" t="s">
        <v>389</v>
      </c>
      <c r="R124">
        <f t="shared" si="9"/>
        <v>1</v>
      </c>
    </row>
    <row r="125" spans="1:18" x14ac:dyDescent="0.3">
      <c r="A125" t="s">
        <v>135</v>
      </c>
      <c r="B125" s="3">
        <v>46032</v>
      </c>
      <c r="C125" t="s">
        <v>323</v>
      </c>
      <c r="D125" t="s">
        <v>425</v>
      </c>
      <c r="E125" t="s">
        <v>346</v>
      </c>
      <c r="F125" t="str">
        <f t="shared" si="5"/>
        <v>Rohan Deshmukh</v>
      </c>
      <c r="G125" t="s">
        <v>355</v>
      </c>
      <c r="H125" t="s">
        <v>369</v>
      </c>
      <c r="I125">
        <v>4</v>
      </c>
      <c r="J125">
        <v>752.13</v>
      </c>
      <c r="K125">
        <v>3008.52</v>
      </c>
      <c r="L125">
        <f t="shared" si="6"/>
        <v>3008.52</v>
      </c>
      <c r="M125" t="s">
        <v>376</v>
      </c>
      <c r="N125" t="str">
        <f t="shared" si="7"/>
        <v>Nagpur</v>
      </c>
      <c r="O125" t="s">
        <v>387</v>
      </c>
      <c r="P125" t="str">
        <f t="shared" si="8"/>
        <v>Debit Card</v>
      </c>
      <c r="Q125" t="s">
        <v>390</v>
      </c>
      <c r="R125">
        <f t="shared" si="9"/>
        <v>2</v>
      </c>
    </row>
    <row r="126" spans="1:18" x14ac:dyDescent="0.3">
      <c r="A126" t="s">
        <v>136</v>
      </c>
      <c r="B126" s="3">
        <v>46048</v>
      </c>
      <c r="C126" t="s">
        <v>316</v>
      </c>
      <c r="D126" t="s">
        <v>431</v>
      </c>
      <c r="E126" t="s">
        <v>352</v>
      </c>
      <c r="F126" t="str">
        <f t="shared" si="5"/>
        <v>Akash Shinde</v>
      </c>
      <c r="G126" t="s">
        <v>355</v>
      </c>
      <c r="H126" t="s">
        <v>369</v>
      </c>
      <c r="I126">
        <v>1</v>
      </c>
      <c r="J126">
        <v>690.76</v>
      </c>
      <c r="K126">
        <v>690.76</v>
      </c>
      <c r="L126">
        <f t="shared" si="6"/>
        <v>690.76</v>
      </c>
      <c r="M126" t="s">
        <v>374</v>
      </c>
      <c r="N126" t="str">
        <f t="shared" si="7"/>
        <v>Nashik</v>
      </c>
      <c r="O126" t="s">
        <v>387</v>
      </c>
      <c r="P126" t="str">
        <f t="shared" si="8"/>
        <v>Debit Card</v>
      </c>
      <c r="Q126" t="s">
        <v>390</v>
      </c>
      <c r="R126">
        <f t="shared" si="9"/>
        <v>2</v>
      </c>
    </row>
    <row r="127" spans="1:18" x14ac:dyDescent="0.3">
      <c r="A127" t="s">
        <v>137</v>
      </c>
      <c r="B127" s="3">
        <v>46098</v>
      </c>
      <c r="C127" t="s">
        <v>327</v>
      </c>
      <c r="D127" t="s">
        <v>415</v>
      </c>
      <c r="E127" t="s">
        <v>336</v>
      </c>
      <c r="F127" t="str">
        <f t="shared" si="5"/>
        <v>Isha Gupta</v>
      </c>
      <c r="G127" t="s">
        <v>367</v>
      </c>
      <c r="H127" t="s">
        <v>371</v>
      </c>
      <c r="I127">
        <v>3</v>
      </c>
      <c r="J127">
        <v>47665.29</v>
      </c>
      <c r="K127">
        <v>142995.87</v>
      </c>
      <c r="L127">
        <f t="shared" si="6"/>
        <v>142995.87</v>
      </c>
      <c r="M127" t="s">
        <v>379</v>
      </c>
      <c r="N127" t="str">
        <f t="shared" si="7"/>
        <v>Navi Mumbai</v>
      </c>
      <c r="O127" t="s">
        <v>384</v>
      </c>
      <c r="P127" t="str">
        <f t="shared" si="8"/>
        <v>Credit Card</v>
      </c>
      <c r="Q127" t="s">
        <v>390</v>
      </c>
      <c r="R127">
        <f t="shared" si="9"/>
        <v>2</v>
      </c>
    </row>
    <row r="128" spans="1:18" x14ac:dyDescent="0.3">
      <c r="A128" t="s">
        <v>138</v>
      </c>
      <c r="B128" s="3">
        <v>46225</v>
      </c>
      <c r="C128" t="s">
        <v>328</v>
      </c>
      <c r="D128" t="s">
        <v>429</v>
      </c>
      <c r="E128" t="s">
        <v>350</v>
      </c>
      <c r="F128" t="str">
        <f t="shared" si="5"/>
        <v>Priya Shah</v>
      </c>
      <c r="G128" t="s">
        <v>356</v>
      </c>
      <c r="H128" t="s">
        <v>370</v>
      </c>
      <c r="I128">
        <v>4</v>
      </c>
      <c r="J128">
        <v>121.58</v>
      </c>
      <c r="K128">
        <v>486.32</v>
      </c>
      <c r="L128">
        <f t="shared" si="6"/>
        <v>486.32</v>
      </c>
      <c r="M128" t="s">
        <v>374</v>
      </c>
      <c r="N128" t="str">
        <f t="shared" si="7"/>
        <v>Nashik</v>
      </c>
      <c r="O128" t="s">
        <v>383</v>
      </c>
      <c r="P128" t="str">
        <f t="shared" si="8"/>
        <v>UPI</v>
      </c>
      <c r="Q128" t="s">
        <v>391</v>
      </c>
      <c r="R128">
        <f t="shared" si="9"/>
        <v>1</v>
      </c>
    </row>
    <row r="129" spans="1:18" x14ac:dyDescent="0.3">
      <c r="A129" t="s">
        <v>139</v>
      </c>
      <c r="B129" s="3">
        <v>46084</v>
      </c>
      <c r="C129" t="s">
        <v>325</v>
      </c>
      <c r="D129" t="s">
        <v>426</v>
      </c>
      <c r="E129" t="s">
        <v>347</v>
      </c>
      <c r="F129" t="str">
        <f t="shared" si="5"/>
        <v>Omkar More</v>
      </c>
      <c r="G129" t="s">
        <v>359</v>
      </c>
      <c r="H129" t="s">
        <v>372</v>
      </c>
      <c r="I129">
        <v>4</v>
      </c>
      <c r="J129">
        <v>921.55</v>
      </c>
      <c r="K129">
        <v>3686.2</v>
      </c>
      <c r="L129">
        <f t="shared" si="6"/>
        <v>3686.2</v>
      </c>
      <c r="M129" t="s">
        <v>374</v>
      </c>
      <c r="N129" t="str">
        <f t="shared" si="7"/>
        <v>Nashik</v>
      </c>
      <c r="O129" t="s">
        <v>384</v>
      </c>
      <c r="P129" t="str">
        <f t="shared" si="8"/>
        <v>Credit Card</v>
      </c>
      <c r="Q129" t="s">
        <v>390</v>
      </c>
      <c r="R129">
        <f t="shared" si="9"/>
        <v>1</v>
      </c>
    </row>
    <row r="130" spans="1:18" x14ac:dyDescent="0.3">
      <c r="A130" t="s">
        <v>140</v>
      </c>
      <c r="B130" s="3">
        <v>46193</v>
      </c>
      <c r="C130" t="s">
        <v>321</v>
      </c>
      <c r="D130" t="s">
        <v>431</v>
      </c>
      <c r="E130" t="s">
        <v>352</v>
      </c>
      <c r="F130" t="str">
        <f t="shared" si="5"/>
        <v>Akash Shinde</v>
      </c>
      <c r="G130" t="s">
        <v>354</v>
      </c>
      <c r="H130" t="s">
        <v>369</v>
      </c>
      <c r="I130">
        <v>3</v>
      </c>
      <c r="J130">
        <v>1785.45</v>
      </c>
      <c r="K130">
        <v>5356.35</v>
      </c>
      <c r="L130">
        <f t="shared" si="6"/>
        <v>5356.35</v>
      </c>
      <c r="M130" t="s">
        <v>377</v>
      </c>
      <c r="N130" t="str">
        <f t="shared" si="7"/>
        <v>Aurangabad</v>
      </c>
      <c r="O130" t="s">
        <v>386</v>
      </c>
      <c r="P130" t="str">
        <f t="shared" si="8"/>
        <v>Net Banking</v>
      </c>
      <c r="Q130" t="s">
        <v>390</v>
      </c>
      <c r="R130">
        <f t="shared" si="9"/>
        <v>1</v>
      </c>
    </row>
    <row r="131" spans="1:18" x14ac:dyDescent="0.3">
      <c r="A131" t="s">
        <v>141</v>
      </c>
      <c r="B131" s="3">
        <v>46173</v>
      </c>
      <c r="C131" t="s">
        <v>330</v>
      </c>
      <c r="D131" t="s">
        <v>413</v>
      </c>
      <c r="E131" t="s">
        <v>334</v>
      </c>
      <c r="F131" t="str">
        <f t="shared" ref="F131:F194" si="10">TRIM(E131)</f>
        <v>Riya Desai</v>
      </c>
      <c r="G131" t="s">
        <v>365</v>
      </c>
      <c r="H131" t="s">
        <v>371</v>
      </c>
      <c r="I131">
        <v>4</v>
      </c>
      <c r="J131">
        <v>30493.32</v>
      </c>
      <c r="K131">
        <v>121973.28</v>
      </c>
      <c r="L131">
        <f t="shared" ref="L131:L194" si="11">I131*J131</f>
        <v>121973.28</v>
      </c>
      <c r="M131" t="s">
        <v>377</v>
      </c>
      <c r="N131" t="str">
        <f t="shared" ref="N131:N194" si="12">PROPER(M131)</f>
        <v>Aurangabad</v>
      </c>
      <c r="O131" t="s">
        <v>385</v>
      </c>
      <c r="P131" t="str">
        <f t="shared" ref="P131:P194" si="13">TRIM(O131)</f>
        <v>Cash</v>
      </c>
      <c r="Q131" t="s">
        <v>390</v>
      </c>
      <c r="R131">
        <f t="shared" ref="R131:R194" si="14">COUNTIFS($C:$C,C131,$E:$E,E131)</f>
        <v>1</v>
      </c>
    </row>
    <row r="132" spans="1:18" x14ac:dyDescent="0.3">
      <c r="A132" t="s">
        <v>142</v>
      </c>
      <c r="B132" s="3">
        <v>46050</v>
      </c>
      <c r="C132" t="s">
        <v>312</v>
      </c>
      <c r="D132" t="s">
        <v>416</v>
      </c>
      <c r="E132" t="s">
        <v>337</v>
      </c>
      <c r="F132" t="str">
        <f t="shared" si="10"/>
        <v>Siddharth Patil</v>
      </c>
      <c r="G132" t="s">
        <v>360</v>
      </c>
      <c r="H132" t="s">
        <v>371</v>
      </c>
      <c r="I132">
        <v>4</v>
      </c>
      <c r="J132">
        <v>1927.2</v>
      </c>
      <c r="K132">
        <v>7708.8</v>
      </c>
      <c r="L132">
        <f t="shared" si="11"/>
        <v>7708.8</v>
      </c>
      <c r="M132" t="s">
        <v>378</v>
      </c>
      <c r="N132" t="str">
        <f t="shared" si="12"/>
        <v>Thane</v>
      </c>
      <c r="O132" t="s">
        <v>386</v>
      </c>
      <c r="P132" t="str">
        <f t="shared" si="13"/>
        <v>Net Banking</v>
      </c>
      <c r="Q132" t="s">
        <v>390</v>
      </c>
      <c r="R132">
        <f t="shared" si="14"/>
        <v>3</v>
      </c>
    </row>
    <row r="133" spans="1:18" x14ac:dyDescent="0.3">
      <c r="A133" t="s">
        <v>143</v>
      </c>
      <c r="B133" s="3">
        <v>46235</v>
      </c>
      <c r="C133" t="s">
        <v>329</v>
      </c>
      <c r="D133" t="s">
        <v>419</v>
      </c>
      <c r="E133" t="s">
        <v>340</v>
      </c>
      <c r="F133" t="str">
        <f t="shared" si="10"/>
        <v>Rahul Jadhav</v>
      </c>
      <c r="G133" t="s">
        <v>355</v>
      </c>
      <c r="H133" t="s">
        <v>369</v>
      </c>
      <c r="I133">
        <v>3</v>
      </c>
      <c r="J133">
        <v>633.07000000000005</v>
      </c>
      <c r="K133">
        <v>1899.21</v>
      </c>
      <c r="L133">
        <f t="shared" si="11"/>
        <v>1899.21</v>
      </c>
      <c r="M133" t="s">
        <v>380</v>
      </c>
      <c r="N133" t="str">
        <f t="shared" si="12"/>
        <v>Mumbai</v>
      </c>
      <c r="O133" t="s">
        <v>386</v>
      </c>
      <c r="P133" t="str">
        <f t="shared" si="13"/>
        <v>Net Banking</v>
      </c>
      <c r="Q133" t="s">
        <v>389</v>
      </c>
      <c r="R133">
        <f t="shared" si="14"/>
        <v>2</v>
      </c>
    </row>
    <row r="134" spans="1:18" x14ac:dyDescent="0.3">
      <c r="A134" t="s">
        <v>144</v>
      </c>
      <c r="B134" s="3">
        <v>46213</v>
      </c>
      <c r="C134" t="s">
        <v>325</v>
      </c>
      <c r="D134" t="s">
        <v>428</v>
      </c>
      <c r="E134" t="s">
        <v>349</v>
      </c>
      <c r="F134" t="str">
        <f t="shared" si="10"/>
        <v>Pooja Chavan</v>
      </c>
      <c r="G134" t="s">
        <v>358</v>
      </c>
      <c r="H134" t="s">
        <v>372</v>
      </c>
      <c r="I134">
        <v>1</v>
      </c>
      <c r="J134">
        <v>3462.79</v>
      </c>
      <c r="K134">
        <v>3462.79</v>
      </c>
      <c r="L134">
        <f t="shared" si="11"/>
        <v>3462.79</v>
      </c>
      <c r="M134" t="s">
        <v>376</v>
      </c>
      <c r="N134" t="str">
        <f t="shared" si="12"/>
        <v>Nagpur</v>
      </c>
      <c r="O134" t="s">
        <v>386</v>
      </c>
      <c r="P134" t="str">
        <f t="shared" si="13"/>
        <v>Net Banking</v>
      </c>
      <c r="Q134" t="s">
        <v>390</v>
      </c>
      <c r="R134">
        <f t="shared" si="14"/>
        <v>1</v>
      </c>
    </row>
    <row r="135" spans="1:18" x14ac:dyDescent="0.3">
      <c r="A135" t="s">
        <v>145</v>
      </c>
      <c r="B135" s="3">
        <v>46196</v>
      </c>
      <c r="C135" t="s">
        <v>320</v>
      </c>
      <c r="D135" t="s">
        <v>423</v>
      </c>
      <c r="E135" t="s">
        <v>344</v>
      </c>
      <c r="F135" t="str">
        <f t="shared" si="10"/>
        <v>Sneha Kulkarni</v>
      </c>
      <c r="G135" t="s">
        <v>360</v>
      </c>
      <c r="H135" t="s">
        <v>371</v>
      </c>
      <c r="I135">
        <v>2</v>
      </c>
      <c r="J135">
        <v>1843.52</v>
      </c>
      <c r="K135">
        <v>3687.04</v>
      </c>
      <c r="L135">
        <f t="shared" si="11"/>
        <v>3687.04</v>
      </c>
      <c r="M135" t="s">
        <v>380</v>
      </c>
      <c r="N135" t="str">
        <f t="shared" si="12"/>
        <v>Mumbai</v>
      </c>
      <c r="O135" t="s">
        <v>387</v>
      </c>
      <c r="P135" t="str">
        <f t="shared" si="13"/>
        <v>Debit Card</v>
      </c>
      <c r="Q135" t="s">
        <v>390</v>
      </c>
      <c r="R135">
        <f t="shared" si="14"/>
        <v>1</v>
      </c>
    </row>
    <row r="136" spans="1:18" x14ac:dyDescent="0.3">
      <c r="A136" t="s">
        <v>146</v>
      </c>
      <c r="B136" s="3">
        <v>46056</v>
      </c>
      <c r="C136" t="s">
        <v>331</v>
      </c>
      <c r="D136" t="s">
        <v>428</v>
      </c>
      <c r="E136" t="s">
        <v>349</v>
      </c>
      <c r="F136" t="str">
        <f t="shared" si="10"/>
        <v>Pooja Chavan</v>
      </c>
      <c r="G136" t="s">
        <v>367</v>
      </c>
      <c r="H136" t="s">
        <v>371</v>
      </c>
      <c r="I136">
        <v>5</v>
      </c>
      <c r="J136">
        <v>43783.75</v>
      </c>
      <c r="K136">
        <v>218918.75</v>
      </c>
      <c r="L136">
        <f t="shared" si="11"/>
        <v>218918.75</v>
      </c>
      <c r="M136" t="s">
        <v>378</v>
      </c>
      <c r="N136" t="str">
        <f t="shared" si="12"/>
        <v>Thane</v>
      </c>
      <c r="O136" t="s">
        <v>385</v>
      </c>
      <c r="P136" t="str">
        <f t="shared" si="13"/>
        <v>Cash</v>
      </c>
      <c r="Q136" t="s">
        <v>390</v>
      </c>
      <c r="R136">
        <f t="shared" si="14"/>
        <v>2</v>
      </c>
    </row>
    <row r="137" spans="1:18" x14ac:dyDescent="0.3">
      <c r="A137" t="s">
        <v>147</v>
      </c>
      <c r="B137" s="3">
        <v>46247</v>
      </c>
      <c r="C137" t="s">
        <v>327</v>
      </c>
      <c r="D137" t="s">
        <v>421</v>
      </c>
      <c r="E137" t="s">
        <v>342</v>
      </c>
      <c r="F137" t="str">
        <f t="shared" si="10"/>
        <v>Nikhil Pawar</v>
      </c>
      <c r="G137" t="s">
        <v>360</v>
      </c>
      <c r="H137" t="s">
        <v>371</v>
      </c>
      <c r="I137">
        <v>2</v>
      </c>
      <c r="J137">
        <v>1903.14</v>
      </c>
      <c r="K137">
        <v>3806.28</v>
      </c>
      <c r="L137">
        <f t="shared" si="11"/>
        <v>3806.28</v>
      </c>
      <c r="M137" t="s">
        <v>377</v>
      </c>
      <c r="N137" t="str">
        <f t="shared" si="12"/>
        <v>Aurangabad</v>
      </c>
      <c r="O137" t="s">
        <v>384</v>
      </c>
      <c r="P137" t="str">
        <f t="shared" si="13"/>
        <v>Credit Card</v>
      </c>
      <c r="Q137" t="s">
        <v>390</v>
      </c>
      <c r="R137">
        <f t="shared" si="14"/>
        <v>2</v>
      </c>
    </row>
    <row r="138" spans="1:18" x14ac:dyDescent="0.3">
      <c r="A138" t="s">
        <v>148</v>
      </c>
      <c r="B138" s="3">
        <v>46098</v>
      </c>
      <c r="C138" t="s">
        <v>324</v>
      </c>
      <c r="D138" t="s">
        <v>423</v>
      </c>
      <c r="E138" t="s">
        <v>344</v>
      </c>
      <c r="F138" t="str">
        <f t="shared" si="10"/>
        <v>Sneha Kulkarni</v>
      </c>
      <c r="G138" t="s">
        <v>362</v>
      </c>
      <c r="H138" t="s">
        <v>372</v>
      </c>
      <c r="I138">
        <v>4</v>
      </c>
      <c r="J138">
        <v>2405.65</v>
      </c>
      <c r="K138">
        <v>9622.6</v>
      </c>
      <c r="L138">
        <f t="shared" si="11"/>
        <v>9622.6</v>
      </c>
      <c r="M138" t="s">
        <v>381</v>
      </c>
      <c r="N138" t="str">
        <f t="shared" si="12"/>
        <v>Kolhapur</v>
      </c>
      <c r="O138" t="s">
        <v>383</v>
      </c>
      <c r="P138" t="str">
        <f t="shared" si="13"/>
        <v>UPI</v>
      </c>
      <c r="Q138" t="s">
        <v>390</v>
      </c>
      <c r="R138">
        <f t="shared" si="14"/>
        <v>1</v>
      </c>
    </row>
    <row r="139" spans="1:18" x14ac:dyDescent="0.3">
      <c r="A139" t="s">
        <v>149</v>
      </c>
      <c r="B139" s="3">
        <v>46208</v>
      </c>
      <c r="C139" t="s">
        <v>329</v>
      </c>
      <c r="D139" t="s">
        <v>420</v>
      </c>
      <c r="E139" t="s">
        <v>341</v>
      </c>
      <c r="F139" t="str">
        <f t="shared" si="10"/>
        <v>Kavya Joshi</v>
      </c>
      <c r="G139" t="s">
        <v>358</v>
      </c>
      <c r="H139" t="s">
        <v>372</v>
      </c>
      <c r="I139">
        <v>2</v>
      </c>
      <c r="J139">
        <v>3430.49</v>
      </c>
      <c r="K139">
        <v>6860.98</v>
      </c>
      <c r="L139">
        <f t="shared" si="11"/>
        <v>6860.98</v>
      </c>
      <c r="M139" t="s">
        <v>378</v>
      </c>
      <c r="N139" t="str">
        <f t="shared" si="12"/>
        <v>Thane</v>
      </c>
      <c r="O139" t="s">
        <v>383</v>
      </c>
      <c r="P139" t="str">
        <f t="shared" si="13"/>
        <v>UPI</v>
      </c>
      <c r="Q139" t="s">
        <v>390</v>
      </c>
      <c r="R139">
        <f t="shared" si="14"/>
        <v>2</v>
      </c>
    </row>
    <row r="140" spans="1:18" x14ac:dyDescent="0.3">
      <c r="A140" t="s">
        <v>150</v>
      </c>
      <c r="B140" s="3">
        <v>46139</v>
      </c>
      <c r="C140" t="s">
        <v>327</v>
      </c>
      <c r="D140" t="s">
        <v>419</v>
      </c>
      <c r="E140" t="s">
        <v>340</v>
      </c>
      <c r="F140" t="str">
        <f t="shared" si="10"/>
        <v>Rahul Jadhav</v>
      </c>
      <c r="G140" t="s">
        <v>367</v>
      </c>
      <c r="H140" t="s">
        <v>371</v>
      </c>
      <c r="I140">
        <v>3</v>
      </c>
      <c r="J140">
        <v>45329.15</v>
      </c>
      <c r="K140">
        <v>135987.45000000001</v>
      </c>
      <c r="L140">
        <f t="shared" si="11"/>
        <v>135987.45000000001</v>
      </c>
      <c r="M140" t="s">
        <v>379</v>
      </c>
      <c r="N140" t="str">
        <f t="shared" si="12"/>
        <v>Navi Mumbai</v>
      </c>
      <c r="O140" t="s">
        <v>387</v>
      </c>
      <c r="P140" t="str">
        <f t="shared" si="13"/>
        <v>Debit Card</v>
      </c>
      <c r="Q140" t="s">
        <v>390</v>
      </c>
      <c r="R140">
        <f t="shared" si="14"/>
        <v>1</v>
      </c>
    </row>
    <row r="141" spans="1:18" x14ac:dyDescent="0.3">
      <c r="A141" t="s">
        <v>151</v>
      </c>
      <c r="B141" s="3">
        <v>46181</v>
      </c>
      <c r="C141" t="s">
        <v>314</v>
      </c>
      <c r="D141" t="s">
        <v>414</v>
      </c>
      <c r="E141" t="s">
        <v>335</v>
      </c>
      <c r="F141" t="str">
        <f t="shared" si="10"/>
        <v>Karan Mehta</v>
      </c>
      <c r="G141" t="s">
        <v>354</v>
      </c>
      <c r="H141" t="s">
        <v>369</v>
      </c>
      <c r="I141">
        <v>2</v>
      </c>
      <c r="J141">
        <v>1789.73</v>
      </c>
      <c r="K141">
        <v>3579.46</v>
      </c>
      <c r="L141">
        <f t="shared" si="11"/>
        <v>3579.46</v>
      </c>
      <c r="M141" t="s">
        <v>376</v>
      </c>
      <c r="N141" t="str">
        <f t="shared" si="12"/>
        <v>Nagpur</v>
      </c>
      <c r="O141" t="s">
        <v>383</v>
      </c>
      <c r="P141" t="str">
        <f t="shared" si="13"/>
        <v>UPI</v>
      </c>
      <c r="Q141" t="s">
        <v>389</v>
      </c>
      <c r="R141">
        <f t="shared" si="14"/>
        <v>1</v>
      </c>
    </row>
    <row r="142" spans="1:18" x14ac:dyDescent="0.3">
      <c r="A142" t="s">
        <v>152</v>
      </c>
      <c r="B142" s="3">
        <v>46100</v>
      </c>
      <c r="C142" t="s">
        <v>315</v>
      </c>
      <c r="D142" t="s">
        <v>423</v>
      </c>
      <c r="E142" t="s">
        <v>344</v>
      </c>
      <c r="F142" t="str">
        <f t="shared" si="10"/>
        <v>Sneha Kulkarni</v>
      </c>
      <c r="G142" t="s">
        <v>359</v>
      </c>
      <c r="H142" t="s">
        <v>372</v>
      </c>
      <c r="I142">
        <v>4</v>
      </c>
      <c r="J142">
        <v>973.69</v>
      </c>
      <c r="K142">
        <v>3894.76</v>
      </c>
      <c r="L142">
        <f t="shared" si="11"/>
        <v>3894.76</v>
      </c>
      <c r="M142" t="s">
        <v>374</v>
      </c>
      <c r="N142" t="str">
        <f t="shared" si="12"/>
        <v>Nashik</v>
      </c>
      <c r="O142" t="s">
        <v>383</v>
      </c>
      <c r="P142" t="str">
        <f t="shared" si="13"/>
        <v>UPI</v>
      </c>
      <c r="Q142" t="s">
        <v>390</v>
      </c>
      <c r="R142">
        <f t="shared" si="14"/>
        <v>2</v>
      </c>
    </row>
    <row r="143" spans="1:18" x14ac:dyDescent="0.3">
      <c r="A143" t="s">
        <v>153</v>
      </c>
      <c r="B143" s="3">
        <v>46083</v>
      </c>
      <c r="C143" t="s">
        <v>314</v>
      </c>
      <c r="D143" t="s">
        <v>430</v>
      </c>
      <c r="E143" t="s">
        <v>351</v>
      </c>
      <c r="F143" t="str">
        <f t="shared" si="10"/>
        <v>Vivek Joshi</v>
      </c>
      <c r="G143" t="s">
        <v>357</v>
      </c>
      <c r="H143" t="s">
        <v>371</v>
      </c>
      <c r="I143">
        <v>4</v>
      </c>
      <c r="J143">
        <v>830.9</v>
      </c>
      <c r="K143">
        <v>3323.6</v>
      </c>
      <c r="L143">
        <f t="shared" si="11"/>
        <v>3323.6</v>
      </c>
      <c r="M143" t="s">
        <v>379</v>
      </c>
      <c r="N143" t="str">
        <f t="shared" si="12"/>
        <v>Navi Mumbai</v>
      </c>
      <c r="O143" t="s">
        <v>385</v>
      </c>
      <c r="P143" t="str">
        <f t="shared" si="13"/>
        <v>Cash</v>
      </c>
      <c r="Q143" t="s">
        <v>390</v>
      </c>
      <c r="R143">
        <f t="shared" si="14"/>
        <v>2</v>
      </c>
    </row>
    <row r="144" spans="1:18" x14ac:dyDescent="0.3">
      <c r="A144" t="s">
        <v>154</v>
      </c>
      <c r="B144" s="3">
        <v>46213</v>
      </c>
      <c r="C144" t="s">
        <v>320</v>
      </c>
      <c r="D144" t="s">
        <v>413</v>
      </c>
      <c r="E144" t="s">
        <v>334</v>
      </c>
      <c r="F144" t="str">
        <f t="shared" si="10"/>
        <v>Riya Desai</v>
      </c>
      <c r="G144" t="s">
        <v>354</v>
      </c>
      <c r="H144" t="s">
        <v>369</v>
      </c>
      <c r="I144">
        <v>5</v>
      </c>
      <c r="J144">
        <v>1770.89</v>
      </c>
      <c r="K144">
        <v>8854.4500000000007</v>
      </c>
      <c r="L144">
        <f t="shared" si="11"/>
        <v>8854.4500000000007</v>
      </c>
      <c r="M144" t="s">
        <v>375</v>
      </c>
      <c r="N144" t="str">
        <f t="shared" si="12"/>
        <v>Pune</v>
      </c>
      <c r="O144" t="s">
        <v>385</v>
      </c>
      <c r="P144" t="str">
        <f t="shared" si="13"/>
        <v>Cash</v>
      </c>
      <c r="Q144" t="s">
        <v>391</v>
      </c>
      <c r="R144">
        <f t="shared" si="14"/>
        <v>3</v>
      </c>
    </row>
    <row r="145" spans="1:18" x14ac:dyDescent="0.3">
      <c r="A145" t="s">
        <v>155</v>
      </c>
      <c r="B145" s="3">
        <v>46117</v>
      </c>
      <c r="C145" t="s">
        <v>318</v>
      </c>
      <c r="D145" t="s">
        <v>431</v>
      </c>
      <c r="E145" t="s">
        <v>352</v>
      </c>
      <c r="F145" t="str">
        <f t="shared" si="10"/>
        <v>Akash Shinde</v>
      </c>
      <c r="G145" t="s">
        <v>366</v>
      </c>
      <c r="H145" t="s">
        <v>373</v>
      </c>
      <c r="I145">
        <v>3</v>
      </c>
      <c r="J145">
        <v>10878.52</v>
      </c>
      <c r="K145">
        <v>32635.56</v>
      </c>
      <c r="L145">
        <f t="shared" si="11"/>
        <v>32635.56</v>
      </c>
      <c r="M145" t="s">
        <v>381</v>
      </c>
      <c r="N145" t="str">
        <f t="shared" si="12"/>
        <v>Kolhapur</v>
      </c>
      <c r="O145" t="s">
        <v>384</v>
      </c>
      <c r="P145" t="str">
        <f t="shared" si="13"/>
        <v>Credit Card</v>
      </c>
      <c r="Q145" t="s">
        <v>390</v>
      </c>
      <c r="R145">
        <f t="shared" si="14"/>
        <v>1</v>
      </c>
    </row>
    <row r="146" spans="1:18" x14ac:dyDescent="0.3">
      <c r="A146" t="s">
        <v>156</v>
      </c>
      <c r="B146" s="3">
        <v>46188</v>
      </c>
      <c r="C146" t="s">
        <v>327</v>
      </c>
      <c r="D146" t="s">
        <v>427</v>
      </c>
      <c r="E146" t="s">
        <v>348</v>
      </c>
      <c r="F146" t="str">
        <f t="shared" si="10"/>
        <v>Ananya Patil</v>
      </c>
      <c r="G146" t="s">
        <v>365</v>
      </c>
      <c r="H146" t="s">
        <v>371</v>
      </c>
      <c r="I146">
        <v>3</v>
      </c>
      <c r="J146">
        <v>28249.01</v>
      </c>
      <c r="K146">
        <v>84747.03</v>
      </c>
      <c r="L146">
        <f t="shared" si="11"/>
        <v>84747.03</v>
      </c>
      <c r="M146" t="s">
        <v>379</v>
      </c>
      <c r="N146" t="str">
        <f t="shared" si="12"/>
        <v>Navi Mumbai</v>
      </c>
      <c r="O146" t="s">
        <v>387</v>
      </c>
      <c r="P146" t="str">
        <f t="shared" si="13"/>
        <v>Debit Card</v>
      </c>
      <c r="Q146" t="s">
        <v>390</v>
      </c>
      <c r="R146">
        <f t="shared" si="14"/>
        <v>1</v>
      </c>
    </row>
    <row r="147" spans="1:18" x14ac:dyDescent="0.3">
      <c r="A147" t="s">
        <v>157</v>
      </c>
      <c r="B147" s="3">
        <v>46077</v>
      </c>
      <c r="C147" t="s">
        <v>323</v>
      </c>
      <c r="D147" t="s">
        <v>412</v>
      </c>
      <c r="E147" t="s">
        <v>333</v>
      </c>
      <c r="F147" t="str">
        <f t="shared" si="10"/>
        <v>Aarav Sharma</v>
      </c>
      <c r="G147" t="s">
        <v>365</v>
      </c>
      <c r="H147" t="s">
        <v>371</v>
      </c>
      <c r="I147">
        <v>4</v>
      </c>
      <c r="J147">
        <v>25713.37</v>
      </c>
      <c r="K147">
        <v>102853.48</v>
      </c>
      <c r="L147">
        <f t="shared" si="11"/>
        <v>102853.48</v>
      </c>
      <c r="M147" t="s">
        <v>380</v>
      </c>
      <c r="N147" t="str">
        <f t="shared" si="12"/>
        <v>Mumbai</v>
      </c>
      <c r="O147" t="s">
        <v>387</v>
      </c>
      <c r="P147" t="str">
        <f t="shared" si="13"/>
        <v>Debit Card</v>
      </c>
      <c r="Q147" t="s">
        <v>390</v>
      </c>
      <c r="R147">
        <f t="shared" si="14"/>
        <v>1</v>
      </c>
    </row>
    <row r="148" spans="1:18" x14ac:dyDescent="0.3">
      <c r="A148" t="s">
        <v>158</v>
      </c>
      <c r="B148" s="3">
        <v>46235</v>
      </c>
      <c r="C148" t="s">
        <v>314</v>
      </c>
      <c r="D148" t="s">
        <v>417</v>
      </c>
      <c r="E148" t="s">
        <v>338</v>
      </c>
      <c r="F148" t="str">
        <f t="shared" si="10"/>
        <v>Aditya More</v>
      </c>
      <c r="G148" t="s">
        <v>361</v>
      </c>
      <c r="H148" t="s">
        <v>371</v>
      </c>
      <c r="I148">
        <v>5</v>
      </c>
      <c r="J148">
        <v>2352.6</v>
      </c>
      <c r="K148">
        <v>11763</v>
      </c>
      <c r="L148">
        <f t="shared" si="11"/>
        <v>11763</v>
      </c>
      <c r="M148" t="s">
        <v>376</v>
      </c>
      <c r="N148" t="str">
        <f t="shared" si="12"/>
        <v>Nagpur</v>
      </c>
      <c r="O148" t="s">
        <v>384</v>
      </c>
      <c r="P148" t="str">
        <f t="shared" si="13"/>
        <v>Credit Card</v>
      </c>
      <c r="Q148" t="s">
        <v>390</v>
      </c>
      <c r="R148">
        <f t="shared" si="14"/>
        <v>3</v>
      </c>
    </row>
    <row r="149" spans="1:18" x14ac:dyDescent="0.3">
      <c r="A149" t="s">
        <v>159</v>
      </c>
      <c r="B149" s="3">
        <v>46175</v>
      </c>
      <c r="C149" t="s">
        <v>321</v>
      </c>
      <c r="D149" t="s">
        <v>419</v>
      </c>
      <c r="E149" t="s">
        <v>340</v>
      </c>
      <c r="F149" t="str">
        <f t="shared" si="10"/>
        <v>Rahul Jadhav</v>
      </c>
      <c r="G149" t="s">
        <v>358</v>
      </c>
      <c r="H149" t="s">
        <v>372</v>
      </c>
      <c r="I149">
        <v>2</v>
      </c>
      <c r="J149">
        <v>3384.73</v>
      </c>
      <c r="K149">
        <v>6769.46</v>
      </c>
      <c r="L149">
        <f t="shared" si="11"/>
        <v>6769.46</v>
      </c>
      <c r="M149" t="s">
        <v>374</v>
      </c>
      <c r="N149" t="str">
        <f t="shared" si="12"/>
        <v>Nashik</v>
      </c>
      <c r="O149" t="s">
        <v>384</v>
      </c>
      <c r="P149" t="str">
        <f t="shared" si="13"/>
        <v>Credit Card</v>
      </c>
      <c r="Q149" t="s">
        <v>391</v>
      </c>
      <c r="R149">
        <f t="shared" si="14"/>
        <v>2</v>
      </c>
    </row>
    <row r="150" spans="1:18" x14ac:dyDescent="0.3">
      <c r="A150" t="s">
        <v>160</v>
      </c>
      <c r="B150" s="3">
        <v>46244</v>
      </c>
      <c r="C150" t="s">
        <v>321</v>
      </c>
      <c r="D150" t="s">
        <v>430</v>
      </c>
      <c r="E150" t="s">
        <v>351</v>
      </c>
      <c r="F150" t="str">
        <f t="shared" si="10"/>
        <v>Vivek Joshi</v>
      </c>
      <c r="G150" t="s">
        <v>357</v>
      </c>
      <c r="H150" t="s">
        <v>371</v>
      </c>
      <c r="I150">
        <v>2</v>
      </c>
      <c r="J150">
        <v>829.79</v>
      </c>
      <c r="K150">
        <v>1659.58</v>
      </c>
      <c r="L150">
        <f t="shared" si="11"/>
        <v>1659.58</v>
      </c>
      <c r="M150" t="s">
        <v>380</v>
      </c>
      <c r="N150" t="str">
        <f t="shared" si="12"/>
        <v>Mumbai</v>
      </c>
      <c r="O150" t="s">
        <v>387</v>
      </c>
      <c r="P150" t="str">
        <f t="shared" si="13"/>
        <v>Debit Card</v>
      </c>
      <c r="Q150" t="s">
        <v>390</v>
      </c>
      <c r="R150">
        <f t="shared" si="14"/>
        <v>1</v>
      </c>
    </row>
    <row r="151" spans="1:18" x14ac:dyDescent="0.3">
      <c r="A151" t="s">
        <v>161</v>
      </c>
      <c r="B151" s="3">
        <v>46090</v>
      </c>
      <c r="C151" t="s">
        <v>313</v>
      </c>
      <c r="D151" t="s">
        <v>430</v>
      </c>
      <c r="E151" t="s">
        <v>351</v>
      </c>
      <c r="F151" t="str">
        <f t="shared" si="10"/>
        <v>Vivek Joshi</v>
      </c>
      <c r="G151" t="s">
        <v>363</v>
      </c>
      <c r="H151" t="s">
        <v>370</v>
      </c>
      <c r="I151">
        <v>3</v>
      </c>
      <c r="J151">
        <v>225.79</v>
      </c>
      <c r="K151">
        <v>677.37</v>
      </c>
      <c r="L151">
        <f t="shared" si="11"/>
        <v>677.37</v>
      </c>
      <c r="M151" t="s">
        <v>379</v>
      </c>
      <c r="N151" t="str">
        <f t="shared" si="12"/>
        <v>Navi Mumbai</v>
      </c>
      <c r="O151" t="s">
        <v>386</v>
      </c>
      <c r="P151" t="str">
        <f t="shared" si="13"/>
        <v>Net Banking</v>
      </c>
      <c r="Q151" t="s">
        <v>390</v>
      </c>
      <c r="R151">
        <f t="shared" si="14"/>
        <v>2</v>
      </c>
    </row>
    <row r="152" spans="1:18" x14ac:dyDescent="0.3">
      <c r="A152" t="s">
        <v>162</v>
      </c>
      <c r="B152" s="3">
        <v>46222</v>
      </c>
      <c r="C152" t="s">
        <v>327</v>
      </c>
      <c r="D152" t="s">
        <v>421</v>
      </c>
      <c r="E152" t="s">
        <v>342</v>
      </c>
      <c r="F152" t="str">
        <f t="shared" si="10"/>
        <v>Nikhil Pawar</v>
      </c>
      <c r="G152" t="s">
        <v>355</v>
      </c>
      <c r="H152" t="s">
        <v>369</v>
      </c>
      <c r="I152">
        <v>1</v>
      </c>
      <c r="J152">
        <v>696.67</v>
      </c>
      <c r="K152">
        <v>696.67</v>
      </c>
      <c r="L152">
        <f t="shared" si="11"/>
        <v>696.67</v>
      </c>
      <c r="M152" t="s">
        <v>375</v>
      </c>
      <c r="N152" t="str">
        <f t="shared" si="12"/>
        <v>Pune</v>
      </c>
      <c r="O152" t="s">
        <v>385</v>
      </c>
      <c r="P152" t="str">
        <f t="shared" si="13"/>
        <v>Cash</v>
      </c>
      <c r="Q152" t="s">
        <v>391</v>
      </c>
      <c r="R152">
        <f t="shared" si="14"/>
        <v>2</v>
      </c>
    </row>
    <row r="153" spans="1:18" x14ac:dyDescent="0.3">
      <c r="A153" t="s">
        <v>163</v>
      </c>
      <c r="B153" s="3">
        <v>46223</v>
      </c>
      <c r="C153" t="s">
        <v>326</v>
      </c>
      <c r="D153" t="s">
        <v>428</v>
      </c>
      <c r="E153" t="s">
        <v>349</v>
      </c>
      <c r="F153" t="str">
        <f t="shared" si="10"/>
        <v>Pooja Chavan</v>
      </c>
      <c r="G153" t="s">
        <v>360</v>
      </c>
      <c r="H153" t="s">
        <v>371</v>
      </c>
      <c r="I153">
        <v>5</v>
      </c>
      <c r="J153">
        <v>1635.61</v>
      </c>
      <c r="K153">
        <v>8178.05</v>
      </c>
      <c r="L153">
        <f t="shared" si="11"/>
        <v>8178.0499999999993</v>
      </c>
      <c r="M153" t="s">
        <v>381</v>
      </c>
      <c r="N153" t="str">
        <f t="shared" si="12"/>
        <v>Kolhapur</v>
      </c>
      <c r="O153" t="s">
        <v>383</v>
      </c>
      <c r="P153" t="str">
        <f t="shared" si="13"/>
        <v>UPI</v>
      </c>
      <c r="Q153" t="s">
        <v>390</v>
      </c>
      <c r="R153">
        <f t="shared" si="14"/>
        <v>1</v>
      </c>
    </row>
    <row r="154" spans="1:18" x14ac:dyDescent="0.3">
      <c r="A154" t="s">
        <v>164</v>
      </c>
      <c r="B154" s="3">
        <v>46050</v>
      </c>
      <c r="C154" t="s">
        <v>325</v>
      </c>
      <c r="D154" t="s">
        <v>431</v>
      </c>
      <c r="E154" t="s">
        <v>352</v>
      </c>
      <c r="F154" t="str">
        <f t="shared" si="10"/>
        <v>Akash Shinde</v>
      </c>
      <c r="G154" t="s">
        <v>368</v>
      </c>
      <c r="H154" t="s">
        <v>373</v>
      </c>
      <c r="I154">
        <v>4</v>
      </c>
      <c r="J154">
        <v>6404.16</v>
      </c>
      <c r="K154">
        <v>25616.639999999999</v>
      </c>
      <c r="L154">
        <f t="shared" si="11"/>
        <v>25616.639999999999</v>
      </c>
      <c r="M154" t="s">
        <v>375</v>
      </c>
      <c r="N154" t="str">
        <f t="shared" si="12"/>
        <v>Pune</v>
      </c>
      <c r="O154" t="s">
        <v>383</v>
      </c>
      <c r="P154" t="str">
        <f t="shared" si="13"/>
        <v>UPI</v>
      </c>
      <c r="Q154" t="s">
        <v>390</v>
      </c>
      <c r="R154">
        <f t="shared" si="14"/>
        <v>1</v>
      </c>
    </row>
    <row r="155" spans="1:18" x14ac:dyDescent="0.3">
      <c r="A155" t="s">
        <v>165</v>
      </c>
      <c r="B155" s="3">
        <v>46093</v>
      </c>
      <c r="C155" t="s">
        <v>323</v>
      </c>
      <c r="D155" t="s">
        <v>426</v>
      </c>
      <c r="E155" t="s">
        <v>347</v>
      </c>
      <c r="F155" t="str">
        <f t="shared" si="10"/>
        <v>Omkar More</v>
      </c>
      <c r="G155" t="s">
        <v>363</v>
      </c>
      <c r="H155" t="s">
        <v>370</v>
      </c>
      <c r="I155">
        <v>2</v>
      </c>
      <c r="J155">
        <v>228.28</v>
      </c>
      <c r="K155">
        <v>456.56</v>
      </c>
      <c r="L155">
        <f t="shared" si="11"/>
        <v>456.56</v>
      </c>
      <c r="M155" t="s">
        <v>378</v>
      </c>
      <c r="N155" t="str">
        <f t="shared" si="12"/>
        <v>Thane</v>
      </c>
      <c r="O155" t="s">
        <v>385</v>
      </c>
      <c r="P155" t="str">
        <f t="shared" si="13"/>
        <v>Cash</v>
      </c>
      <c r="Q155" t="s">
        <v>391</v>
      </c>
      <c r="R155">
        <f t="shared" si="14"/>
        <v>1</v>
      </c>
    </row>
    <row r="156" spans="1:18" x14ac:dyDescent="0.3">
      <c r="A156" t="s">
        <v>166</v>
      </c>
      <c r="B156" s="3">
        <v>46177</v>
      </c>
      <c r="C156" t="s">
        <v>315</v>
      </c>
      <c r="D156" t="s">
        <v>423</v>
      </c>
      <c r="E156" t="s">
        <v>344</v>
      </c>
      <c r="F156" t="str">
        <f t="shared" si="10"/>
        <v>Sneha Kulkarni</v>
      </c>
      <c r="G156" t="s">
        <v>356</v>
      </c>
      <c r="H156" t="s">
        <v>370</v>
      </c>
      <c r="I156">
        <v>3</v>
      </c>
      <c r="J156">
        <v>118.89</v>
      </c>
      <c r="K156">
        <v>356.67</v>
      </c>
      <c r="L156">
        <f t="shared" si="11"/>
        <v>356.67</v>
      </c>
      <c r="M156" t="s">
        <v>375</v>
      </c>
      <c r="N156" t="str">
        <f t="shared" si="12"/>
        <v>Pune</v>
      </c>
      <c r="O156" t="s">
        <v>386</v>
      </c>
      <c r="P156" t="str">
        <f t="shared" si="13"/>
        <v>Net Banking</v>
      </c>
      <c r="Q156" t="s">
        <v>389</v>
      </c>
      <c r="R156">
        <f t="shared" si="14"/>
        <v>2</v>
      </c>
    </row>
    <row r="157" spans="1:18" x14ac:dyDescent="0.3">
      <c r="A157" t="s">
        <v>167</v>
      </c>
      <c r="B157" s="3">
        <v>46250</v>
      </c>
      <c r="C157" t="s">
        <v>312</v>
      </c>
      <c r="D157" t="s">
        <v>413</v>
      </c>
      <c r="E157" t="s">
        <v>334</v>
      </c>
      <c r="F157" t="str">
        <f t="shared" si="10"/>
        <v>Riya Desai</v>
      </c>
      <c r="G157" t="s">
        <v>359</v>
      </c>
      <c r="H157" t="s">
        <v>372</v>
      </c>
      <c r="I157">
        <v>2</v>
      </c>
      <c r="J157">
        <v>887.41</v>
      </c>
      <c r="K157">
        <v>1774.82</v>
      </c>
      <c r="L157">
        <f t="shared" si="11"/>
        <v>1774.82</v>
      </c>
      <c r="M157" t="s">
        <v>378</v>
      </c>
      <c r="N157" t="str">
        <f t="shared" si="12"/>
        <v>Thane</v>
      </c>
      <c r="O157" t="s">
        <v>385</v>
      </c>
      <c r="P157" t="str">
        <f t="shared" si="13"/>
        <v>Cash</v>
      </c>
      <c r="Q157" t="s">
        <v>390</v>
      </c>
      <c r="R157">
        <f t="shared" si="14"/>
        <v>1</v>
      </c>
    </row>
    <row r="158" spans="1:18" x14ac:dyDescent="0.3">
      <c r="A158" t="s">
        <v>168</v>
      </c>
      <c r="B158" s="3">
        <v>46103</v>
      </c>
      <c r="C158" t="s">
        <v>322</v>
      </c>
      <c r="D158" t="s">
        <v>415</v>
      </c>
      <c r="E158" t="s">
        <v>336</v>
      </c>
      <c r="F158" t="str">
        <f t="shared" si="10"/>
        <v>Isha Gupta</v>
      </c>
      <c r="G158" t="s">
        <v>366</v>
      </c>
      <c r="H158" t="s">
        <v>373</v>
      </c>
      <c r="I158">
        <v>1</v>
      </c>
      <c r="J158">
        <v>11550.12</v>
      </c>
      <c r="K158">
        <v>11550.12</v>
      </c>
      <c r="L158">
        <f t="shared" si="11"/>
        <v>11550.12</v>
      </c>
      <c r="M158" t="s">
        <v>374</v>
      </c>
      <c r="N158" t="str">
        <f t="shared" si="12"/>
        <v>Nashik</v>
      </c>
      <c r="O158" t="s">
        <v>385</v>
      </c>
      <c r="P158" t="str">
        <f t="shared" si="13"/>
        <v>Cash</v>
      </c>
      <c r="Q158" t="s">
        <v>390</v>
      </c>
      <c r="R158">
        <f t="shared" si="14"/>
        <v>2</v>
      </c>
    </row>
    <row r="159" spans="1:18" x14ac:dyDescent="0.3">
      <c r="A159" t="s">
        <v>169</v>
      </c>
      <c r="B159" s="3">
        <v>46047</v>
      </c>
      <c r="C159" t="s">
        <v>327</v>
      </c>
      <c r="D159" t="s">
        <v>430</v>
      </c>
      <c r="E159" t="s">
        <v>351</v>
      </c>
      <c r="F159" t="str">
        <f t="shared" si="10"/>
        <v>Vivek Joshi</v>
      </c>
      <c r="G159" t="s">
        <v>365</v>
      </c>
      <c r="H159" t="s">
        <v>371</v>
      </c>
      <c r="I159">
        <v>1</v>
      </c>
      <c r="J159">
        <v>25722.09</v>
      </c>
      <c r="K159">
        <v>25722.09</v>
      </c>
      <c r="L159">
        <f t="shared" si="11"/>
        <v>25722.09</v>
      </c>
      <c r="M159" t="s">
        <v>380</v>
      </c>
      <c r="N159" t="str">
        <f t="shared" si="12"/>
        <v>Mumbai</v>
      </c>
      <c r="O159" t="s">
        <v>386</v>
      </c>
      <c r="P159" t="str">
        <f t="shared" si="13"/>
        <v>Net Banking</v>
      </c>
      <c r="Q159" t="s">
        <v>391</v>
      </c>
      <c r="R159">
        <f t="shared" si="14"/>
        <v>2</v>
      </c>
    </row>
    <row r="160" spans="1:18" x14ac:dyDescent="0.3">
      <c r="A160" t="s">
        <v>170</v>
      </c>
      <c r="B160" s="3">
        <v>46128</v>
      </c>
      <c r="C160" t="s">
        <v>327</v>
      </c>
      <c r="D160" t="s">
        <v>413</v>
      </c>
      <c r="E160" t="s">
        <v>334</v>
      </c>
      <c r="F160" t="str">
        <f t="shared" si="10"/>
        <v>Riya Desai</v>
      </c>
      <c r="G160" t="s">
        <v>356</v>
      </c>
      <c r="H160" t="s">
        <v>370</v>
      </c>
      <c r="I160">
        <v>3</v>
      </c>
      <c r="J160">
        <v>124.08</v>
      </c>
      <c r="K160">
        <v>372.24</v>
      </c>
      <c r="L160">
        <f t="shared" si="11"/>
        <v>372.24</v>
      </c>
      <c r="M160" t="s">
        <v>380</v>
      </c>
      <c r="N160" t="str">
        <f t="shared" si="12"/>
        <v>Mumbai</v>
      </c>
      <c r="O160" t="s">
        <v>387</v>
      </c>
      <c r="P160" t="str">
        <f t="shared" si="13"/>
        <v>Debit Card</v>
      </c>
      <c r="Q160" t="s">
        <v>391</v>
      </c>
      <c r="R160">
        <f t="shared" si="14"/>
        <v>2</v>
      </c>
    </row>
    <row r="161" spans="1:18" x14ac:dyDescent="0.3">
      <c r="A161" t="s">
        <v>171</v>
      </c>
      <c r="B161" s="3">
        <v>46152</v>
      </c>
      <c r="C161" t="s">
        <v>318</v>
      </c>
      <c r="D161" t="s">
        <v>430</v>
      </c>
      <c r="E161" t="s">
        <v>351</v>
      </c>
      <c r="F161" t="str">
        <f t="shared" si="10"/>
        <v>Vivek Joshi</v>
      </c>
      <c r="G161" t="s">
        <v>357</v>
      </c>
      <c r="H161" t="s">
        <v>371</v>
      </c>
      <c r="I161">
        <v>3</v>
      </c>
      <c r="J161">
        <v>828.65</v>
      </c>
      <c r="K161">
        <v>2485.9499999999998</v>
      </c>
      <c r="L161">
        <f t="shared" si="11"/>
        <v>2485.9499999999998</v>
      </c>
      <c r="M161" t="s">
        <v>381</v>
      </c>
      <c r="N161" t="str">
        <f t="shared" si="12"/>
        <v>Kolhapur</v>
      </c>
      <c r="O161" t="s">
        <v>384</v>
      </c>
      <c r="P161" t="str">
        <f t="shared" si="13"/>
        <v>Credit Card</v>
      </c>
      <c r="Q161" t="s">
        <v>390</v>
      </c>
      <c r="R161">
        <f t="shared" si="14"/>
        <v>2</v>
      </c>
    </row>
    <row r="162" spans="1:18" x14ac:dyDescent="0.3">
      <c r="A162" t="s">
        <v>172</v>
      </c>
      <c r="B162" s="3">
        <v>46218</v>
      </c>
      <c r="C162" t="s">
        <v>322</v>
      </c>
      <c r="D162" t="s">
        <v>426</v>
      </c>
      <c r="E162" t="s">
        <v>347</v>
      </c>
      <c r="F162" t="str">
        <f t="shared" si="10"/>
        <v>Omkar More</v>
      </c>
      <c r="G162" t="s">
        <v>364</v>
      </c>
      <c r="H162" t="s">
        <v>373</v>
      </c>
      <c r="I162">
        <v>5</v>
      </c>
      <c r="J162">
        <v>8274.85</v>
      </c>
      <c r="K162">
        <v>41374.25</v>
      </c>
      <c r="L162">
        <f t="shared" si="11"/>
        <v>41374.25</v>
      </c>
      <c r="M162" t="s">
        <v>376</v>
      </c>
      <c r="N162" t="str">
        <f t="shared" si="12"/>
        <v>Nagpur</v>
      </c>
      <c r="O162" t="s">
        <v>385</v>
      </c>
      <c r="P162" t="str">
        <f t="shared" si="13"/>
        <v>Cash</v>
      </c>
      <c r="Q162" t="s">
        <v>391</v>
      </c>
      <c r="R162">
        <f t="shared" si="14"/>
        <v>2</v>
      </c>
    </row>
    <row r="163" spans="1:18" x14ac:dyDescent="0.3">
      <c r="A163" t="s">
        <v>173</v>
      </c>
      <c r="B163" s="3">
        <v>46187</v>
      </c>
      <c r="C163" t="s">
        <v>314</v>
      </c>
      <c r="D163" t="s">
        <v>412</v>
      </c>
      <c r="E163" t="s">
        <v>333</v>
      </c>
      <c r="F163" t="str">
        <f t="shared" si="10"/>
        <v>Aarav Sharma</v>
      </c>
      <c r="G163" t="s">
        <v>358</v>
      </c>
      <c r="H163" t="s">
        <v>372</v>
      </c>
      <c r="I163">
        <v>5</v>
      </c>
      <c r="J163">
        <v>3272.69</v>
      </c>
      <c r="K163">
        <v>16363.45</v>
      </c>
      <c r="L163">
        <f t="shared" si="11"/>
        <v>16363.45</v>
      </c>
      <c r="M163" t="s">
        <v>377</v>
      </c>
      <c r="N163" t="str">
        <f t="shared" si="12"/>
        <v>Aurangabad</v>
      </c>
      <c r="O163" t="s">
        <v>383</v>
      </c>
      <c r="P163" t="str">
        <f t="shared" si="13"/>
        <v>UPI</v>
      </c>
      <c r="Q163" t="s">
        <v>390</v>
      </c>
      <c r="R163">
        <f t="shared" si="14"/>
        <v>4</v>
      </c>
    </row>
    <row r="164" spans="1:18" x14ac:dyDescent="0.3">
      <c r="A164" t="s">
        <v>174</v>
      </c>
      <c r="B164" s="3">
        <v>46112</v>
      </c>
      <c r="C164" t="s">
        <v>321</v>
      </c>
      <c r="D164" t="s">
        <v>429</v>
      </c>
      <c r="E164" t="s">
        <v>350</v>
      </c>
      <c r="F164" t="str">
        <f t="shared" si="10"/>
        <v>Priya Shah</v>
      </c>
      <c r="G164" t="s">
        <v>357</v>
      </c>
      <c r="H164" t="s">
        <v>371</v>
      </c>
      <c r="I164">
        <v>3</v>
      </c>
      <c r="J164">
        <v>975.88</v>
      </c>
      <c r="K164">
        <v>2927.64</v>
      </c>
      <c r="L164">
        <f t="shared" si="11"/>
        <v>2927.64</v>
      </c>
      <c r="M164" t="s">
        <v>374</v>
      </c>
      <c r="N164" t="str">
        <f t="shared" si="12"/>
        <v>Nashik</v>
      </c>
      <c r="O164" t="s">
        <v>386</v>
      </c>
      <c r="P164" t="str">
        <f t="shared" si="13"/>
        <v>Net Banking</v>
      </c>
      <c r="Q164" t="s">
        <v>389</v>
      </c>
      <c r="R164">
        <f t="shared" si="14"/>
        <v>2</v>
      </c>
    </row>
    <row r="165" spans="1:18" x14ac:dyDescent="0.3">
      <c r="A165" t="s">
        <v>175</v>
      </c>
      <c r="B165" s="3">
        <v>46185</v>
      </c>
      <c r="C165" t="s">
        <v>321</v>
      </c>
      <c r="D165" t="s">
        <v>425</v>
      </c>
      <c r="E165" t="s">
        <v>346</v>
      </c>
      <c r="F165" t="str">
        <f t="shared" si="10"/>
        <v>Rohan Deshmukh</v>
      </c>
      <c r="G165" t="s">
        <v>366</v>
      </c>
      <c r="H165" t="s">
        <v>373</v>
      </c>
      <c r="I165">
        <v>1</v>
      </c>
      <c r="J165">
        <v>11140.5</v>
      </c>
      <c r="K165">
        <v>11140.5</v>
      </c>
      <c r="L165">
        <f t="shared" si="11"/>
        <v>11140.5</v>
      </c>
      <c r="M165" t="s">
        <v>376</v>
      </c>
      <c r="N165" t="str">
        <f t="shared" si="12"/>
        <v>Nagpur</v>
      </c>
      <c r="O165" t="s">
        <v>385</v>
      </c>
      <c r="P165" t="str">
        <f t="shared" si="13"/>
        <v>Cash</v>
      </c>
      <c r="Q165" t="s">
        <v>390</v>
      </c>
      <c r="R165">
        <f t="shared" si="14"/>
        <v>2</v>
      </c>
    </row>
    <row r="166" spans="1:18" x14ac:dyDescent="0.3">
      <c r="A166" t="s">
        <v>176</v>
      </c>
      <c r="B166" s="3">
        <v>46102</v>
      </c>
      <c r="C166" t="s">
        <v>324</v>
      </c>
      <c r="D166" t="s">
        <v>426</v>
      </c>
      <c r="E166" t="s">
        <v>347</v>
      </c>
      <c r="F166" t="str">
        <f t="shared" si="10"/>
        <v>Omkar More</v>
      </c>
      <c r="G166" t="s">
        <v>368</v>
      </c>
      <c r="H166" t="s">
        <v>373</v>
      </c>
      <c r="I166">
        <v>3</v>
      </c>
      <c r="J166">
        <v>6054.63</v>
      </c>
      <c r="K166">
        <v>18163.89</v>
      </c>
      <c r="L166">
        <f t="shared" si="11"/>
        <v>18163.89</v>
      </c>
      <c r="M166" t="s">
        <v>375</v>
      </c>
      <c r="N166" t="str">
        <f t="shared" si="12"/>
        <v>Pune</v>
      </c>
      <c r="O166" t="s">
        <v>383</v>
      </c>
      <c r="P166" t="str">
        <f t="shared" si="13"/>
        <v>UPI</v>
      </c>
      <c r="Q166" t="s">
        <v>390</v>
      </c>
      <c r="R166">
        <f t="shared" si="14"/>
        <v>2</v>
      </c>
    </row>
    <row r="167" spans="1:18" x14ac:dyDescent="0.3">
      <c r="A167" t="s">
        <v>177</v>
      </c>
      <c r="B167" s="3">
        <v>46043</v>
      </c>
      <c r="C167" t="s">
        <v>322</v>
      </c>
      <c r="D167" t="s">
        <v>431</v>
      </c>
      <c r="E167" t="s">
        <v>352</v>
      </c>
      <c r="F167" t="str">
        <f t="shared" si="10"/>
        <v>Akash Shinde</v>
      </c>
      <c r="G167" t="s">
        <v>361</v>
      </c>
      <c r="H167" t="s">
        <v>371</v>
      </c>
      <c r="I167">
        <v>5</v>
      </c>
      <c r="J167">
        <v>2274.88</v>
      </c>
      <c r="K167">
        <v>11374.4</v>
      </c>
      <c r="L167">
        <f t="shared" si="11"/>
        <v>11374.400000000001</v>
      </c>
      <c r="M167" t="s">
        <v>379</v>
      </c>
      <c r="N167" t="str">
        <f t="shared" si="12"/>
        <v>Navi Mumbai</v>
      </c>
      <c r="O167" t="s">
        <v>385</v>
      </c>
      <c r="P167" t="str">
        <f t="shared" si="13"/>
        <v>Cash</v>
      </c>
      <c r="Q167" t="s">
        <v>391</v>
      </c>
      <c r="R167">
        <f t="shared" si="14"/>
        <v>2</v>
      </c>
    </row>
    <row r="168" spans="1:18" x14ac:dyDescent="0.3">
      <c r="A168" t="s">
        <v>178</v>
      </c>
      <c r="B168" s="3">
        <v>46216</v>
      </c>
      <c r="C168" t="s">
        <v>326</v>
      </c>
      <c r="D168" t="s">
        <v>423</v>
      </c>
      <c r="E168" t="s">
        <v>344</v>
      </c>
      <c r="F168" t="str">
        <f t="shared" si="10"/>
        <v>Sneha Kulkarni</v>
      </c>
      <c r="G168" t="s">
        <v>368</v>
      </c>
      <c r="H168" t="s">
        <v>373</v>
      </c>
      <c r="I168">
        <v>4</v>
      </c>
      <c r="J168">
        <v>6205.12</v>
      </c>
      <c r="K168">
        <v>24820.48</v>
      </c>
      <c r="L168">
        <f t="shared" si="11"/>
        <v>24820.48</v>
      </c>
      <c r="M168" t="s">
        <v>378</v>
      </c>
      <c r="N168" t="str">
        <f t="shared" si="12"/>
        <v>Thane</v>
      </c>
      <c r="O168" t="s">
        <v>385</v>
      </c>
      <c r="P168" t="str">
        <f t="shared" si="13"/>
        <v>Cash</v>
      </c>
      <c r="Q168" t="s">
        <v>390</v>
      </c>
      <c r="R168">
        <f t="shared" si="14"/>
        <v>1</v>
      </c>
    </row>
    <row r="169" spans="1:18" x14ac:dyDescent="0.3">
      <c r="A169" t="s">
        <v>179</v>
      </c>
      <c r="B169" s="3">
        <v>46193</v>
      </c>
      <c r="C169" t="s">
        <v>330</v>
      </c>
      <c r="D169" t="s">
        <v>427</v>
      </c>
      <c r="E169" t="s">
        <v>348</v>
      </c>
      <c r="F169" t="str">
        <f t="shared" si="10"/>
        <v>Ananya Patil</v>
      </c>
      <c r="G169" t="s">
        <v>357</v>
      </c>
      <c r="H169" t="s">
        <v>371</v>
      </c>
      <c r="I169">
        <v>5</v>
      </c>
      <c r="J169">
        <v>897.59</v>
      </c>
      <c r="K169">
        <v>4487.95</v>
      </c>
      <c r="L169">
        <f t="shared" si="11"/>
        <v>4487.95</v>
      </c>
      <c r="M169" t="s">
        <v>376</v>
      </c>
      <c r="N169" t="str">
        <f t="shared" si="12"/>
        <v>Nagpur</v>
      </c>
      <c r="O169" t="s">
        <v>385</v>
      </c>
      <c r="P169" t="str">
        <f t="shared" si="13"/>
        <v>Cash</v>
      </c>
      <c r="Q169" t="s">
        <v>391</v>
      </c>
      <c r="R169">
        <f t="shared" si="14"/>
        <v>2</v>
      </c>
    </row>
    <row r="170" spans="1:18" x14ac:dyDescent="0.3">
      <c r="A170" t="s">
        <v>180</v>
      </c>
      <c r="B170" s="3">
        <v>46265</v>
      </c>
      <c r="C170" t="s">
        <v>318</v>
      </c>
      <c r="D170" t="s">
        <v>430</v>
      </c>
      <c r="E170" t="s">
        <v>351</v>
      </c>
      <c r="F170" t="str">
        <f t="shared" si="10"/>
        <v>Vivek Joshi</v>
      </c>
      <c r="G170" t="s">
        <v>367</v>
      </c>
      <c r="H170" t="s">
        <v>371</v>
      </c>
      <c r="I170">
        <v>1</v>
      </c>
      <c r="J170">
        <v>42339.81</v>
      </c>
      <c r="K170">
        <v>42339.81</v>
      </c>
      <c r="L170">
        <f t="shared" si="11"/>
        <v>42339.81</v>
      </c>
      <c r="M170" t="s">
        <v>377</v>
      </c>
      <c r="N170" t="str">
        <f t="shared" si="12"/>
        <v>Aurangabad</v>
      </c>
      <c r="O170" t="s">
        <v>387</v>
      </c>
      <c r="P170" t="str">
        <f t="shared" si="13"/>
        <v>Debit Card</v>
      </c>
      <c r="Q170" t="s">
        <v>390</v>
      </c>
      <c r="R170">
        <f t="shared" si="14"/>
        <v>2</v>
      </c>
    </row>
    <row r="171" spans="1:18" x14ac:dyDescent="0.3">
      <c r="A171" t="s">
        <v>181</v>
      </c>
      <c r="B171" s="3">
        <v>46133</v>
      </c>
      <c r="C171" t="s">
        <v>328</v>
      </c>
      <c r="D171" t="s">
        <v>430</v>
      </c>
      <c r="E171" t="s">
        <v>351</v>
      </c>
      <c r="F171" t="str">
        <f t="shared" si="10"/>
        <v>Vivek Joshi</v>
      </c>
      <c r="G171" t="s">
        <v>365</v>
      </c>
      <c r="H171" t="s">
        <v>371</v>
      </c>
      <c r="I171">
        <v>1</v>
      </c>
      <c r="J171">
        <v>27985.360000000001</v>
      </c>
      <c r="K171">
        <v>27985.360000000001</v>
      </c>
      <c r="L171">
        <f t="shared" si="11"/>
        <v>27985.360000000001</v>
      </c>
      <c r="M171" t="s">
        <v>379</v>
      </c>
      <c r="N171" t="str">
        <f t="shared" si="12"/>
        <v>Navi Mumbai</v>
      </c>
      <c r="O171" t="s">
        <v>386</v>
      </c>
      <c r="P171" t="str">
        <f t="shared" si="13"/>
        <v>Net Banking</v>
      </c>
      <c r="Q171" t="s">
        <v>389</v>
      </c>
      <c r="R171">
        <f t="shared" si="14"/>
        <v>1</v>
      </c>
    </row>
    <row r="172" spans="1:18" x14ac:dyDescent="0.3">
      <c r="A172" t="s">
        <v>182</v>
      </c>
      <c r="B172" s="3">
        <v>46194</v>
      </c>
      <c r="C172" t="s">
        <v>327</v>
      </c>
      <c r="D172" t="s">
        <v>425</v>
      </c>
      <c r="E172" t="s">
        <v>346</v>
      </c>
      <c r="F172" t="str">
        <f t="shared" si="10"/>
        <v>Rohan Deshmukh</v>
      </c>
      <c r="G172" t="s">
        <v>360</v>
      </c>
      <c r="H172" t="s">
        <v>371</v>
      </c>
      <c r="I172">
        <v>5</v>
      </c>
      <c r="J172">
        <v>1821.14</v>
      </c>
      <c r="K172">
        <v>9105.7000000000007</v>
      </c>
      <c r="L172">
        <f t="shared" si="11"/>
        <v>9105.7000000000007</v>
      </c>
      <c r="M172" t="s">
        <v>379</v>
      </c>
      <c r="N172" t="str">
        <f t="shared" si="12"/>
        <v>Navi Mumbai</v>
      </c>
      <c r="O172" t="s">
        <v>383</v>
      </c>
      <c r="P172" t="str">
        <f t="shared" si="13"/>
        <v>UPI</v>
      </c>
      <c r="Q172" t="s">
        <v>390</v>
      </c>
      <c r="R172">
        <f t="shared" si="14"/>
        <v>1</v>
      </c>
    </row>
    <row r="173" spans="1:18" x14ac:dyDescent="0.3">
      <c r="A173" t="s">
        <v>183</v>
      </c>
      <c r="B173" s="3">
        <v>46243</v>
      </c>
      <c r="C173" t="s">
        <v>324</v>
      </c>
      <c r="D173" t="s">
        <v>426</v>
      </c>
      <c r="E173" t="s">
        <v>347</v>
      </c>
      <c r="F173" t="str">
        <f t="shared" si="10"/>
        <v>Omkar More</v>
      </c>
      <c r="G173" t="s">
        <v>367</v>
      </c>
      <c r="H173" t="s">
        <v>371</v>
      </c>
      <c r="I173">
        <v>4</v>
      </c>
      <c r="J173">
        <v>48790.46</v>
      </c>
      <c r="K173">
        <v>195161.84</v>
      </c>
      <c r="L173">
        <f t="shared" si="11"/>
        <v>195161.84</v>
      </c>
      <c r="M173" t="s">
        <v>379</v>
      </c>
      <c r="N173" t="str">
        <f t="shared" si="12"/>
        <v>Navi Mumbai</v>
      </c>
      <c r="O173" t="s">
        <v>386</v>
      </c>
      <c r="P173" t="str">
        <f t="shared" si="13"/>
        <v>Net Banking</v>
      </c>
      <c r="Q173" t="s">
        <v>390</v>
      </c>
      <c r="R173">
        <f t="shared" si="14"/>
        <v>2</v>
      </c>
    </row>
    <row r="174" spans="1:18" x14ac:dyDescent="0.3">
      <c r="A174" t="s">
        <v>184</v>
      </c>
      <c r="B174" s="3">
        <v>46126</v>
      </c>
      <c r="C174" t="s">
        <v>321</v>
      </c>
      <c r="D174" t="s">
        <v>414</v>
      </c>
      <c r="E174" t="s">
        <v>335</v>
      </c>
      <c r="F174" t="str">
        <f t="shared" si="10"/>
        <v>Karan Mehta</v>
      </c>
      <c r="G174" t="s">
        <v>355</v>
      </c>
      <c r="H174" t="s">
        <v>369</v>
      </c>
      <c r="I174">
        <v>4</v>
      </c>
      <c r="J174">
        <v>670.53</v>
      </c>
      <c r="K174">
        <v>2682.12</v>
      </c>
      <c r="L174">
        <f t="shared" si="11"/>
        <v>2682.12</v>
      </c>
      <c r="M174" t="s">
        <v>374</v>
      </c>
      <c r="N174" t="str">
        <f t="shared" si="12"/>
        <v>Nashik</v>
      </c>
      <c r="O174" t="s">
        <v>386</v>
      </c>
      <c r="P174" t="str">
        <f t="shared" si="13"/>
        <v>Net Banking</v>
      </c>
      <c r="Q174" t="s">
        <v>390</v>
      </c>
      <c r="R174">
        <f t="shared" si="14"/>
        <v>2</v>
      </c>
    </row>
    <row r="175" spans="1:18" x14ac:dyDescent="0.3">
      <c r="A175" t="s">
        <v>185</v>
      </c>
      <c r="B175" s="3">
        <v>46239</v>
      </c>
      <c r="C175" t="s">
        <v>316</v>
      </c>
      <c r="D175" t="s">
        <v>411</v>
      </c>
      <c r="E175" t="s">
        <v>332</v>
      </c>
      <c r="F175" t="str">
        <f t="shared" si="10"/>
        <v>Neha Pawar</v>
      </c>
      <c r="G175" t="s">
        <v>359</v>
      </c>
      <c r="H175" t="s">
        <v>372</v>
      </c>
      <c r="I175">
        <v>3</v>
      </c>
      <c r="J175">
        <v>825.86</v>
      </c>
      <c r="K175">
        <v>2477.58</v>
      </c>
      <c r="L175">
        <f t="shared" si="11"/>
        <v>2477.58</v>
      </c>
      <c r="M175" t="s">
        <v>379</v>
      </c>
      <c r="N175" t="str">
        <f t="shared" si="12"/>
        <v>Navi Mumbai</v>
      </c>
      <c r="O175" t="s">
        <v>386</v>
      </c>
      <c r="P175" t="str">
        <f t="shared" si="13"/>
        <v>Net Banking</v>
      </c>
      <c r="Q175" t="s">
        <v>390</v>
      </c>
      <c r="R175">
        <f t="shared" si="14"/>
        <v>1</v>
      </c>
    </row>
    <row r="176" spans="1:18" x14ac:dyDescent="0.3">
      <c r="A176" t="s">
        <v>186</v>
      </c>
      <c r="B176" s="3">
        <v>46102</v>
      </c>
      <c r="C176" t="s">
        <v>324</v>
      </c>
      <c r="D176" t="s">
        <v>411</v>
      </c>
      <c r="E176" t="s">
        <v>332</v>
      </c>
      <c r="F176" t="str">
        <f t="shared" si="10"/>
        <v>Neha Pawar</v>
      </c>
      <c r="G176" t="s">
        <v>356</v>
      </c>
      <c r="H176" t="s">
        <v>370</v>
      </c>
      <c r="I176">
        <v>1</v>
      </c>
      <c r="J176">
        <v>117.5</v>
      </c>
      <c r="K176">
        <v>117.5</v>
      </c>
      <c r="L176">
        <f t="shared" si="11"/>
        <v>117.5</v>
      </c>
      <c r="M176" t="s">
        <v>378</v>
      </c>
      <c r="N176" t="str">
        <f t="shared" si="12"/>
        <v>Thane</v>
      </c>
      <c r="O176" t="s">
        <v>384</v>
      </c>
      <c r="P176" t="str">
        <f t="shared" si="13"/>
        <v>Credit Card</v>
      </c>
      <c r="Q176" t="s">
        <v>390</v>
      </c>
      <c r="R176">
        <f t="shared" si="14"/>
        <v>3</v>
      </c>
    </row>
    <row r="177" spans="1:18" x14ac:dyDescent="0.3">
      <c r="A177" t="s">
        <v>187</v>
      </c>
      <c r="B177" s="3">
        <v>46072</v>
      </c>
      <c r="C177" t="s">
        <v>327</v>
      </c>
      <c r="D177" t="s">
        <v>415</v>
      </c>
      <c r="E177" t="s">
        <v>336</v>
      </c>
      <c r="F177" t="str">
        <f t="shared" si="10"/>
        <v>Isha Gupta</v>
      </c>
      <c r="G177" t="s">
        <v>356</v>
      </c>
      <c r="H177" t="s">
        <v>370</v>
      </c>
      <c r="I177">
        <v>1</v>
      </c>
      <c r="J177">
        <v>120.73</v>
      </c>
      <c r="K177">
        <v>120.73</v>
      </c>
      <c r="L177">
        <f t="shared" si="11"/>
        <v>120.73</v>
      </c>
      <c r="M177" t="s">
        <v>374</v>
      </c>
      <c r="N177" t="str">
        <f t="shared" si="12"/>
        <v>Nashik</v>
      </c>
      <c r="O177" t="s">
        <v>384</v>
      </c>
      <c r="P177" t="str">
        <f t="shared" si="13"/>
        <v>Credit Card</v>
      </c>
      <c r="Q177" t="s">
        <v>390</v>
      </c>
      <c r="R177">
        <f t="shared" si="14"/>
        <v>2</v>
      </c>
    </row>
    <row r="178" spans="1:18" x14ac:dyDescent="0.3">
      <c r="A178" t="s">
        <v>188</v>
      </c>
      <c r="B178" s="3">
        <v>46177</v>
      </c>
      <c r="C178" t="s">
        <v>320</v>
      </c>
      <c r="D178" t="s">
        <v>425</v>
      </c>
      <c r="E178" t="s">
        <v>346</v>
      </c>
      <c r="F178" t="str">
        <f t="shared" si="10"/>
        <v>Rohan Deshmukh</v>
      </c>
      <c r="G178" t="s">
        <v>361</v>
      </c>
      <c r="H178" t="s">
        <v>371</v>
      </c>
      <c r="I178">
        <v>3</v>
      </c>
      <c r="J178">
        <v>2348.64</v>
      </c>
      <c r="K178">
        <v>7045.92</v>
      </c>
      <c r="L178">
        <f t="shared" si="11"/>
        <v>7045.92</v>
      </c>
      <c r="M178" t="s">
        <v>374</v>
      </c>
      <c r="N178" t="str">
        <f t="shared" si="12"/>
        <v>Nashik</v>
      </c>
      <c r="O178" t="s">
        <v>385</v>
      </c>
      <c r="P178" t="str">
        <f t="shared" si="13"/>
        <v>Cash</v>
      </c>
      <c r="Q178" t="s">
        <v>390</v>
      </c>
      <c r="R178">
        <f t="shared" si="14"/>
        <v>2</v>
      </c>
    </row>
    <row r="179" spans="1:18" x14ac:dyDescent="0.3">
      <c r="A179" t="s">
        <v>189</v>
      </c>
      <c r="B179" s="3">
        <v>46137</v>
      </c>
      <c r="C179" t="s">
        <v>317</v>
      </c>
      <c r="D179" t="s">
        <v>422</v>
      </c>
      <c r="E179" t="s">
        <v>343</v>
      </c>
      <c r="F179" t="str">
        <f t="shared" si="10"/>
        <v>Tanvi Shah</v>
      </c>
      <c r="G179" t="s">
        <v>358</v>
      </c>
      <c r="H179" t="s">
        <v>372</v>
      </c>
      <c r="I179">
        <v>5</v>
      </c>
      <c r="J179">
        <v>3366.32</v>
      </c>
      <c r="K179">
        <v>16831.599999999999</v>
      </c>
      <c r="L179">
        <f t="shared" si="11"/>
        <v>16831.600000000002</v>
      </c>
      <c r="M179" t="s">
        <v>378</v>
      </c>
      <c r="N179" t="str">
        <f t="shared" si="12"/>
        <v>Thane</v>
      </c>
      <c r="O179" t="s">
        <v>387</v>
      </c>
      <c r="P179" t="str">
        <f t="shared" si="13"/>
        <v>Debit Card</v>
      </c>
      <c r="Q179" t="s">
        <v>390</v>
      </c>
      <c r="R179">
        <f t="shared" si="14"/>
        <v>1</v>
      </c>
    </row>
    <row r="180" spans="1:18" x14ac:dyDescent="0.3">
      <c r="A180" t="s">
        <v>190</v>
      </c>
      <c r="B180" s="3">
        <v>46184</v>
      </c>
      <c r="C180" t="s">
        <v>330</v>
      </c>
      <c r="D180" t="s">
        <v>419</v>
      </c>
      <c r="E180" t="s">
        <v>340</v>
      </c>
      <c r="F180" t="str">
        <f t="shared" si="10"/>
        <v>Rahul Jadhav</v>
      </c>
      <c r="G180" t="s">
        <v>368</v>
      </c>
      <c r="H180" t="s">
        <v>373</v>
      </c>
      <c r="I180">
        <v>1</v>
      </c>
      <c r="J180">
        <v>6459.6</v>
      </c>
      <c r="K180">
        <v>6459.6</v>
      </c>
      <c r="L180">
        <f t="shared" si="11"/>
        <v>6459.6</v>
      </c>
      <c r="M180" t="s">
        <v>380</v>
      </c>
      <c r="N180" t="str">
        <f t="shared" si="12"/>
        <v>Mumbai</v>
      </c>
      <c r="O180" t="s">
        <v>387</v>
      </c>
      <c r="P180" t="str">
        <f t="shared" si="13"/>
        <v>Debit Card</v>
      </c>
      <c r="Q180" t="s">
        <v>391</v>
      </c>
      <c r="R180">
        <f t="shared" si="14"/>
        <v>1</v>
      </c>
    </row>
    <row r="181" spans="1:18" x14ac:dyDescent="0.3">
      <c r="A181" t="s">
        <v>191</v>
      </c>
      <c r="B181" s="3">
        <v>46032</v>
      </c>
      <c r="C181" t="s">
        <v>313</v>
      </c>
      <c r="D181" t="s">
        <v>415</v>
      </c>
      <c r="E181" t="s">
        <v>336</v>
      </c>
      <c r="F181" t="str">
        <f t="shared" si="10"/>
        <v>Isha Gupta</v>
      </c>
      <c r="G181" t="s">
        <v>365</v>
      </c>
      <c r="H181" t="s">
        <v>371</v>
      </c>
      <c r="I181">
        <v>3</v>
      </c>
      <c r="J181">
        <v>27785.759999999998</v>
      </c>
      <c r="K181">
        <v>83357.279999999999</v>
      </c>
      <c r="L181">
        <f t="shared" si="11"/>
        <v>83357.279999999999</v>
      </c>
      <c r="M181" t="s">
        <v>377</v>
      </c>
      <c r="N181" t="str">
        <f t="shared" si="12"/>
        <v>Aurangabad</v>
      </c>
      <c r="O181" t="s">
        <v>383</v>
      </c>
      <c r="P181" t="str">
        <f t="shared" si="13"/>
        <v>UPI</v>
      </c>
      <c r="Q181" t="s">
        <v>389</v>
      </c>
      <c r="R181">
        <f t="shared" si="14"/>
        <v>2</v>
      </c>
    </row>
    <row r="182" spans="1:18" x14ac:dyDescent="0.3">
      <c r="A182" t="s">
        <v>192</v>
      </c>
      <c r="B182" s="3">
        <v>46152</v>
      </c>
      <c r="C182" t="s">
        <v>329</v>
      </c>
      <c r="D182" t="s">
        <v>431</v>
      </c>
      <c r="E182" t="s">
        <v>352</v>
      </c>
      <c r="F182" t="str">
        <f t="shared" si="10"/>
        <v>Akash Shinde</v>
      </c>
      <c r="G182" t="s">
        <v>359</v>
      </c>
      <c r="H182" t="s">
        <v>372</v>
      </c>
      <c r="I182">
        <v>1</v>
      </c>
      <c r="J182">
        <v>920.7</v>
      </c>
      <c r="K182">
        <v>920.7</v>
      </c>
      <c r="L182">
        <f t="shared" si="11"/>
        <v>920.7</v>
      </c>
      <c r="M182" t="s">
        <v>380</v>
      </c>
      <c r="N182" t="str">
        <f t="shared" si="12"/>
        <v>Mumbai</v>
      </c>
      <c r="O182" t="s">
        <v>385</v>
      </c>
      <c r="P182" t="str">
        <f t="shared" si="13"/>
        <v>Cash</v>
      </c>
      <c r="Q182" t="s">
        <v>391</v>
      </c>
      <c r="R182">
        <f t="shared" si="14"/>
        <v>2</v>
      </c>
    </row>
    <row r="183" spans="1:18" x14ac:dyDescent="0.3">
      <c r="A183" t="s">
        <v>193</v>
      </c>
      <c r="B183" s="3">
        <v>46144</v>
      </c>
      <c r="C183" t="s">
        <v>326</v>
      </c>
      <c r="D183" t="s">
        <v>430</v>
      </c>
      <c r="E183" t="s">
        <v>351</v>
      </c>
      <c r="F183" t="str">
        <f t="shared" si="10"/>
        <v>Vivek Joshi</v>
      </c>
      <c r="G183" t="s">
        <v>354</v>
      </c>
      <c r="H183" t="s">
        <v>369</v>
      </c>
      <c r="I183">
        <v>2</v>
      </c>
      <c r="J183">
        <v>1735.75</v>
      </c>
      <c r="K183">
        <v>3471.5</v>
      </c>
      <c r="L183">
        <f t="shared" si="11"/>
        <v>3471.5</v>
      </c>
      <c r="M183" t="s">
        <v>380</v>
      </c>
      <c r="N183" t="str">
        <f t="shared" si="12"/>
        <v>Mumbai</v>
      </c>
      <c r="O183" t="s">
        <v>385</v>
      </c>
      <c r="P183" t="str">
        <f t="shared" si="13"/>
        <v>Cash</v>
      </c>
      <c r="Q183" t="s">
        <v>390</v>
      </c>
      <c r="R183">
        <f t="shared" si="14"/>
        <v>1</v>
      </c>
    </row>
    <row r="184" spans="1:18" x14ac:dyDescent="0.3">
      <c r="A184" t="s">
        <v>194</v>
      </c>
      <c r="B184" s="3">
        <v>46044</v>
      </c>
      <c r="C184" t="s">
        <v>326</v>
      </c>
      <c r="D184" t="s">
        <v>429</v>
      </c>
      <c r="E184" t="s">
        <v>350</v>
      </c>
      <c r="F184" t="str">
        <f t="shared" si="10"/>
        <v>Priya Shah</v>
      </c>
      <c r="G184" t="s">
        <v>358</v>
      </c>
      <c r="H184" t="s">
        <v>372</v>
      </c>
      <c r="I184">
        <v>3</v>
      </c>
      <c r="J184">
        <v>3508.73</v>
      </c>
      <c r="K184">
        <v>10526.19</v>
      </c>
      <c r="L184">
        <f t="shared" si="11"/>
        <v>10526.19</v>
      </c>
      <c r="M184" t="s">
        <v>380</v>
      </c>
      <c r="N184" t="str">
        <f t="shared" si="12"/>
        <v>Mumbai</v>
      </c>
      <c r="O184" t="s">
        <v>384</v>
      </c>
      <c r="P184" t="str">
        <f t="shared" si="13"/>
        <v>Credit Card</v>
      </c>
      <c r="Q184" t="s">
        <v>389</v>
      </c>
      <c r="R184">
        <f t="shared" si="14"/>
        <v>2</v>
      </c>
    </row>
    <row r="185" spans="1:18" x14ac:dyDescent="0.3">
      <c r="A185" t="s">
        <v>195</v>
      </c>
      <c r="B185" s="3">
        <v>46179</v>
      </c>
      <c r="C185" t="s">
        <v>328</v>
      </c>
      <c r="D185" t="s">
        <v>415</v>
      </c>
      <c r="E185" t="s">
        <v>336</v>
      </c>
      <c r="F185" t="str">
        <f t="shared" si="10"/>
        <v>Isha Gupta</v>
      </c>
      <c r="G185" t="s">
        <v>368</v>
      </c>
      <c r="H185" t="s">
        <v>373</v>
      </c>
      <c r="I185">
        <v>4</v>
      </c>
      <c r="J185">
        <v>6531.29</v>
      </c>
      <c r="K185">
        <v>26125.16</v>
      </c>
      <c r="L185">
        <f t="shared" si="11"/>
        <v>26125.16</v>
      </c>
      <c r="M185" t="s">
        <v>378</v>
      </c>
      <c r="N185" t="str">
        <f t="shared" si="12"/>
        <v>Thane</v>
      </c>
      <c r="O185" t="s">
        <v>387</v>
      </c>
      <c r="P185" t="str">
        <f t="shared" si="13"/>
        <v>Debit Card</v>
      </c>
      <c r="Q185" t="s">
        <v>390</v>
      </c>
      <c r="R185">
        <f t="shared" si="14"/>
        <v>1</v>
      </c>
    </row>
    <row r="186" spans="1:18" x14ac:dyDescent="0.3">
      <c r="A186" t="s">
        <v>196</v>
      </c>
      <c r="B186" s="3">
        <v>46036</v>
      </c>
      <c r="C186" t="s">
        <v>324</v>
      </c>
      <c r="D186" t="s">
        <v>425</v>
      </c>
      <c r="E186" t="s">
        <v>346</v>
      </c>
      <c r="F186" t="str">
        <f t="shared" si="10"/>
        <v>Rohan Deshmukh</v>
      </c>
      <c r="G186" t="s">
        <v>366</v>
      </c>
      <c r="H186" t="s">
        <v>373</v>
      </c>
      <c r="I186">
        <v>3</v>
      </c>
      <c r="J186">
        <v>12429.35</v>
      </c>
      <c r="K186">
        <v>37288.050000000003</v>
      </c>
      <c r="L186">
        <f t="shared" si="11"/>
        <v>37288.050000000003</v>
      </c>
      <c r="M186" t="s">
        <v>378</v>
      </c>
      <c r="N186" t="str">
        <f t="shared" si="12"/>
        <v>Thane</v>
      </c>
      <c r="O186" t="s">
        <v>383</v>
      </c>
      <c r="P186" t="str">
        <f t="shared" si="13"/>
        <v>UPI</v>
      </c>
      <c r="Q186" t="s">
        <v>391</v>
      </c>
      <c r="R186">
        <f t="shared" si="14"/>
        <v>2</v>
      </c>
    </row>
    <row r="187" spans="1:18" x14ac:dyDescent="0.3">
      <c r="A187" t="s">
        <v>197</v>
      </c>
      <c r="B187" s="3">
        <v>46208</v>
      </c>
      <c r="C187" t="s">
        <v>323</v>
      </c>
      <c r="D187" t="s">
        <v>430</v>
      </c>
      <c r="E187" t="s">
        <v>351</v>
      </c>
      <c r="F187" t="str">
        <f t="shared" si="10"/>
        <v>Vivek Joshi</v>
      </c>
      <c r="G187" t="s">
        <v>354</v>
      </c>
      <c r="H187" t="s">
        <v>369</v>
      </c>
      <c r="I187">
        <v>4</v>
      </c>
      <c r="J187">
        <v>1722.29</v>
      </c>
      <c r="K187">
        <v>6889.16</v>
      </c>
      <c r="L187">
        <f t="shared" si="11"/>
        <v>6889.16</v>
      </c>
      <c r="M187" t="s">
        <v>378</v>
      </c>
      <c r="N187" t="str">
        <f t="shared" si="12"/>
        <v>Thane</v>
      </c>
      <c r="O187" t="s">
        <v>383</v>
      </c>
      <c r="P187" t="str">
        <f t="shared" si="13"/>
        <v>UPI</v>
      </c>
      <c r="Q187" t="s">
        <v>391</v>
      </c>
      <c r="R187">
        <f t="shared" si="14"/>
        <v>1</v>
      </c>
    </row>
    <row r="188" spans="1:18" x14ac:dyDescent="0.3">
      <c r="A188" t="s">
        <v>198</v>
      </c>
      <c r="B188" s="3">
        <v>46102</v>
      </c>
      <c r="C188" t="s">
        <v>329</v>
      </c>
      <c r="D188" t="s">
        <v>430</v>
      </c>
      <c r="E188" t="s">
        <v>351</v>
      </c>
      <c r="F188" t="str">
        <f t="shared" si="10"/>
        <v>Vivek Joshi</v>
      </c>
      <c r="G188" t="s">
        <v>354</v>
      </c>
      <c r="H188" t="s">
        <v>369</v>
      </c>
      <c r="I188">
        <v>2</v>
      </c>
      <c r="J188">
        <v>1950.03</v>
      </c>
      <c r="K188">
        <v>3900.06</v>
      </c>
      <c r="L188">
        <f t="shared" si="11"/>
        <v>3900.06</v>
      </c>
      <c r="M188" t="s">
        <v>375</v>
      </c>
      <c r="N188" t="str">
        <f t="shared" si="12"/>
        <v>Pune</v>
      </c>
      <c r="O188" t="s">
        <v>387</v>
      </c>
      <c r="P188" t="str">
        <f t="shared" si="13"/>
        <v>Debit Card</v>
      </c>
      <c r="Q188" t="s">
        <v>391</v>
      </c>
      <c r="R188">
        <f t="shared" si="14"/>
        <v>1</v>
      </c>
    </row>
    <row r="189" spans="1:18" x14ac:dyDescent="0.3">
      <c r="A189" t="s">
        <v>199</v>
      </c>
      <c r="B189" s="3">
        <v>46194</v>
      </c>
      <c r="C189" t="s">
        <v>326</v>
      </c>
      <c r="D189" t="s">
        <v>425</v>
      </c>
      <c r="E189" t="s">
        <v>346</v>
      </c>
      <c r="F189" t="str">
        <f t="shared" si="10"/>
        <v>Rohan Deshmukh</v>
      </c>
      <c r="G189" t="s">
        <v>366</v>
      </c>
      <c r="H189" t="s">
        <v>373</v>
      </c>
      <c r="I189">
        <v>3</v>
      </c>
      <c r="J189">
        <v>12751.64</v>
      </c>
      <c r="K189">
        <v>38254.92</v>
      </c>
      <c r="L189">
        <f t="shared" si="11"/>
        <v>38254.92</v>
      </c>
      <c r="M189" t="s">
        <v>379</v>
      </c>
      <c r="N189" t="str">
        <f t="shared" si="12"/>
        <v>Navi Mumbai</v>
      </c>
      <c r="O189" t="s">
        <v>386</v>
      </c>
      <c r="P189" t="str">
        <f t="shared" si="13"/>
        <v>Net Banking</v>
      </c>
      <c r="Q189" t="s">
        <v>390</v>
      </c>
      <c r="R189">
        <f t="shared" si="14"/>
        <v>1</v>
      </c>
    </row>
    <row r="190" spans="1:18" x14ac:dyDescent="0.3">
      <c r="A190" t="s">
        <v>200</v>
      </c>
      <c r="B190" s="3">
        <v>46266</v>
      </c>
      <c r="C190" t="s">
        <v>318</v>
      </c>
      <c r="D190" t="s">
        <v>414</v>
      </c>
      <c r="E190" t="s">
        <v>335</v>
      </c>
      <c r="F190" t="str">
        <f t="shared" si="10"/>
        <v>Karan Mehta</v>
      </c>
      <c r="G190" t="s">
        <v>367</v>
      </c>
      <c r="H190" t="s">
        <v>371</v>
      </c>
      <c r="I190">
        <v>3</v>
      </c>
      <c r="J190">
        <v>43279.79</v>
      </c>
      <c r="K190">
        <v>129839.37</v>
      </c>
      <c r="L190">
        <f t="shared" si="11"/>
        <v>129839.37</v>
      </c>
      <c r="M190" t="s">
        <v>381</v>
      </c>
      <c r="N190" t="str">
        <f t="shared" si="12"/>
        <v>Kolhapur</v>
      </c>
      <c r="O190" t="s">
        <v>384</v>
      </c>
      <c r="P190" t="str">
        <f t="shared" si="13"/>
        <v>Credit Card</v>
      </c>
      <c r="Q190" t="s">
        <v>390</v>
      </c>
      <c r="R190">
        <f t="shared" si="14"/>
        <v>2</v>
      </c>
    </row>
    <row r="191" spans="1:18" x14ac:dyDescent="0.3">
      <c r="A191" t="s">
        <v>201</v>
      </c>
      <c r="B191" s="3">
        <v>46239</v>
      </c>
      <c r="C191" t="s">
        <v>316</v>
      </c>
      <c r="D191" t="s">
        <v>421</v>
      </c>
      <c r="E191" t="s">
        <v>342</v>
      </c>
      <c r="F191" t="str">
        <f t="shared" si="10"/>
        <v>Nikhil Pawar</v>
      </c>
      <c r="G191" t="s">
        <v>361</v>
      </c>
      <c r="H191" t="s">
        <v>371</v>
      </c>
      <c r="I191">
        <v>2</v>
      </c>
      <c r="J191">
        <v>2288.58</v>
      </c>
      <c r="K191">
        <v>4577.16</v>
      </c>
      <c r="L191">
        <f t="shared" si="11"/>
        <v>4577.16</v>
      </c>
      <c r="M191" t="s">
        <v>380</v>
      </c>
      <c r="N191" t="str">
        <f t="shared" si="12"/>
        <v>Mumbai</v>
      </c>
      <c r="O191" t="s">
        <v>387</v>
      </c>
      <c r="P191" t="str">
        <f t="shared" si="13"/>
        <v>Debit Card</v>
      </c>
      <c r="Q191" t="s">
        <v>391</v>
      </c>
      <c r="R191">
        <f t="shared" si="14"/>
        <v>1</v>
      </c>
    </row>
    <row r="192" spans="1:18" x14ac:dyDescent="0.3">
      <c r="A192" t="s">
        <v>202</v>
      </c>
      <c r="B192" s="3">
        <v>46064</v>
      </c>
      <c r="C192" t="s">
        <v>328</v>
      </c>
      <c r="D192" t="s">
        <v>422</v>
      </c>
      <c r="E192" t="s">
        <v>343</v>
      </c>
      <c r="F192" t="str">
        <f t="shared" si="10"/>
        <v>Tanvi Shah</v>
      </c>
      <c r="G192" t="s">
        <v>361</v>
      </c>
      <c r="H192" t="s">
        <v>371</v>
      </c>
      <c r="I192">
        <v>5</v>
      </c>
      <c r="J192">
        <v>2438.36</v>
      </c>
      <c r="K192">
        <v>12191.8</v>
      </c>
      <c r="L192">
        <f t="shared" si="11"/>
        <v>12191.800000000001</v>
      </c>
      <c r="M192" t="s">
        <v>374</v>
      </c>
      <c r="N192" t="str">
        <f t="shared" si="12"/>
        <v>Nashik</v>
      </c>
      <c r="O192" t="s">
        <v>385</v>
      </c>
      <c r="P192" t="str">
        <f t="shared" si="13"/>
        <v>Cash</v>
      </c>
      <c r="Q192" t="s">
        <v>390</v>
      </c>
      <c r="R192">
        <f t="shared" si="14"/>
        <v>2</v>
      </c>
    </row>
    <row r="193" spans="1:18" x14ac:dyDescent="0.3">
      <c r="A193" t="s">
        <v>203</v>
      </c>
      <c r="B193" s="3">
        <v>46083</v>
      </c>
      <c r="C193" t="s">
        <v>319</v>
      </c>
      <c r="D193" t="s">
        <v>422</v>
      </c>
      <c r="E193" t="s">
        <v>343</v>
      </c>
      <c r="F193" t="str">
        <f t="shared" si="10"/>
        <v>Tanvi Shah</v>
      </c>
      <c r="G193" t="s">
        <v>366</v>
      </c>
      <c r="H193" t="s">
        <v>373</v>
      </c>
      <c r="I193">
        <v>3</v>
      </c>
      <c r="J193">
        <v>12423.27</v>
      </c>
      <c r="K193">
        <v>37269.81</v>
      </c>
      <c r="L193">
        <f t="shared" si="11"/>
        <v>37269.81</v>
      </c>
      <c r="M193" t="s">
        <v>377</v>
      </c>
      <c r="N193" t="str">
        <f t="shared" si="12"/>
        <v>Aurangabad</v>
      </c>
      <c r="O193" t="s">
        <v>385</v>
      </c>
      <c r="P193" t="str">
        <f t="shared" si="13"/>
        <v>Cash</v>
      </c>
      <c r="Q193" t="s">
        <v>390</v>
      </c>
      <c r="R193">
        <f t="shared" si="14"/>
        <v>2</v>
      </c>
    </row>
    <row r="194" spans="1:18" x14ac:dyDescent="0.3">
      <c r="A194" t="s">
        <v>204</v>
      </c>
      <c r="B194" s="3">
        <v>46230</v>
      </c>
      <c r="C194" t="s">
        <v>325</v>
      </c>
      <c r="D194" t="s">
        <v>417</v>
      </c>
      <c r="E194" t="s">
        <v>338</v>
      </c>
      <c r="F194" t="str">
        <f t="shared" si="10"/>
        <v>Aditya More</v>
      </c>
      <c r="G194" t="s">
        <v>356</v>
      </c>
      <c r="H194" t="s">
        <v>370</v>
      </c>
      <c r="I194">
        <v>2</v>
      </c>
      <c r="J194">
        <v>115.43</v>
      </c>
      <c r="K194">
        <v>230.86</v>
      </c>
      <c r="L194">
        <f t="shared" si="11"/>
        <v>230.86</v>
      </c>
      <c r="M194" t="s">
        <v>378</v>
      </c>
      <c r="N194" t="str">
        <f t="shared" si="12"/>
        <v>Thane</v>
      </c>
      <c r="O194" t="s">
        <v>386</v>
      </c>
      <c r="P194" t="str">
        <f t="shared" si="13"/>
        <v>Net Banking</v>
      </c>
      <c r="Q194" t="s">
        <v>390</v>
      </c>
      <c r="R194">
        <f t="shared" si="14"/>
        <v>2</v>
      </c>
    </row>
    <row r="195" spans="1:18" x14ac:dyDescent="0.3">
      <c r="A195" t="s">
        <v>205</v>
      </c>
      <c r="B195" s="3">
        <v>46151</v>
      </c>
      <c r="C195" t="s">
        <v>326</v>
      </c>
      <c r="D195" t="s">
        <v>413</v>
      </c>
      <c r="E195" t="s">
        <v>334</v>
      </c>
      <c r="F195" t="str">
        <f t="shared" ref="F195:F258" si="15">TRIM(E195)</f>
        <v>Riya Desai</v>
      </c>
      <c r="G195" t="s">
        <v>368</v>
      </c>
      <c r="H195" t="s">
        <v>373</v>
      </c>
      <c r="I195">
        <v>3</v>
      </c>
      <c r="J195">
        <v>6861.56</v>
      </c>
      <c r="K195">
        <v>20584.68</v>
      </c>
      <c r="L195">
        <f t="shared" ref="L195:L258" si="16">I195*J195</f>
        <v>20584.68</v>
      </c>
      <c r="M195" t="s">
        <v>374</v>
      </c>
      <c r="N195" t="str">
        <f t="shared" ref="N195:N258" si="17">PROPER(M195)</f>
        <v>Nashik</v>
      </c>
      <c r="O195" t="s">
        <v>384</v>
      </c>
      <c r="P195" t="str">
        <f t="shared" ref="P195:P258" si="18">TRIM(O195)</f>
        <v>Credit Card</v>
      </c>
      <c r="Q195" t="s">
        <v>391</v>
      </c>
      <c r="R195">
        <f t="shared" ref="R195:R258" si="19">COUNTIFS($C:$C,C195,$E:$E,E195)</f>
        <v>1</v>
      </c>
    </row>
    <row r="196" spans="1:18" x14ac:dyDescent="0.3">
      <c r="A196" t="s">
        <v>206</v>
      </c>
      <c r="B196" s="3">
        <v>46146</v>
      </c>
      <c r="C196" t="s">
        <v>327</v>
      </c>
      <c r="D196" t="s">
        <v>420</v>
      </c>
      <c r="E196" t="s">
        <v>341</v>
      </c>
      <c r="F196" t="str">
        <f t="shared" si="15"/>
        <v>Kavya Joshi</v>
      </c>
      <c r="G196" t="s">
        <v>361</v>
      </c>
      <c r="H196" t="s">
        <v>371</v>
      </c>
      <c r="I196">
        <v>3</v>
      </c>
      <c r="J196">
        <v>2276.09</v>
      </c>
      <c r="K196">
        <v>6828.27</v>
      </c>
      <c r="L196">
        <f t="shared" si="16"/>
        <v>6828.27</v>
      </c>
      <c r="M196" t="s">
        <v>375</v>
      </c>
      <c r="N196" t="str">
        <f t="shared" si="17"/>
        <v>Pune</v>
      </c>
      <c r="O196" t="s">
        <v>386</v>
      </c>
      <c r="P196" t="str">
        <f t="shared" si="18"/>
        <v>Net Banking</v>
      </c>
      <c r="Q196" t="s">
        <v>390</v>
      </c>
      <c r="R196">
        <f t="shared" si="19"/>
        <v>1</v>
      </c>
    </row>
    <row r="197" spans="1:18" x14ac:dyDescent="0.3">
      <c r="A197" t="s">
        <v>207</v>
      </c>
      <c r="B197" s="3">
        <v>46092</v>
      </c>
      <c r="C197" t="s">
        <v>319</v>
      </c>
      <c r="D197" t="s">
        <v>421</v>
      </c>
      <c r="E197" t="s">
        <v>342</v>
      </c>
      <c r="F197" t="str">
        <f t="shared" si="15"/>
        <v>Nikhil Pawar</v>
      </c>
      <c r="G197" t="s">
        <v>357</v>
      </c>
      <c r="H197" t="s">
        <v>371</v>
      </c>
      <c r="I197">
        <v>1</v>
      </c>
      <c r="J197">
        <v>947.36</v>
      </c>
      <c r="K197">
        <v>947.36</v>
      </c>
      <c r="L197">
        <f t="shared" si="16"/>
        <v>947.36</v>
      </c>
      <c r="M197" t="s">
        <v>374</v>
      </c>
      <c r="N197" t="str">
        <f t="shared" si="17"/>
        <v>Nashik</v>
      </c>
      <c r="O197" t="s">
        <v>385</v>
      </c>
      <c r="P197" t="str">
        <f t="shared" si="18"/>
        <v>Cash</v>
      </c>
      <c r="Q197" t="s">
        <v>390</v>
      </c>
      <c r="R197">
        <f t="shared" si="19"/>
        <v>1</v>
      </c>
    </row>
    <row r="198" spans="1:18" x14ac:dyDescent="0.3">
      <c r="A198" t="s">
        <v>208</v>
      </c>
      <c r="B198" s="3">
        <v>46249</v>
      </c>
      <c r="C198" t="s">
        <v>327</v>
      </c>
      <c r="D198" t="s">
        <v>412</v>
      </c>
      <c r="E198" t="s">
        <v>333</v>
      </c>
      <c r="F198" t="str">
        <f t="shared" si="15"/>
        <v>Aarav Sharma</v>
      </c>
      <c r="G198" t="s">
        <v>362</v>
      </c>
      <c r="H198" t="s">
        <v>372</v>
      </c>
      <c r="I198">
        <v>2</v>
      </c>
      <c r="J198">
        <v>2339.35</v>
      </c>
      <c r="K198">
        <v>4678.7</v>
      </c>
      <c r="L198">
        <f t="shared" si="16"/>
        <v>4678.7</v>
      </c>
      <c r="M198" t="s">
        <v>379</v>
      </c>
      <c r="N198" t="str">
        <f t="shared" si="17"/>
        <v>Navi Mumbai</v>
      </c>
      <c r="O198" t="s">
        <v>383</v>
      </c>
      <c r="P198" t="str">
        <f t="shared" si="18"/>
        <v>UPI</v>
      </c>
      <c r="Q198" t="s">
        <v>390</v>
      </c>
      <c r="R198">
        <f t="shared" si="19"/>
        <v>1</v>
      </c>
    </row>
    <row r="199" spans="1:18" x14ac:dyDescent="0.3">
      <c r="A199" t="s">
        <v>209</v>
      </c>
      <c r="B199" s="3">
        <v>46043</v>
      </c>
      <c r="C199" t="s">
        <v>327</v>
      </c>
      <c r="D199" t="s">
        <v>411</v>
      </c>
      <c r="E199" t="s">
        <v>332</v>
      </c>
      <c r="F199" t="str">
        <f t="shared" si="15"/>
        <v>Neha Pawar</v>
      </c>
      <c r="G199" t="s">
        <v>356</v>
      </c>
      <c r="H199" t="s">
        <v>370</v>
      </c>
      <c r="I199">
        <v>3</v>
      </c>
      <c r="J199">
        <v>113.66</v>
      </c>
      <c r="K199">
        <v>340.98</v>
      </c>
      <c r="L199">
        <f t="shared" si="16"/>
        <v>340.98</v>
      </c>
      <c r="M199" t="s">
        <v>380</v>
      </c>
      <c r="N199" t="str">
        <f t="shared" si="17"/>
        <v>Mumbai</v>
      </c>
      <c r="O199" t="s">
        <v>387</v>
      </c>
      <c r="P199" t="str">
        <f t="shared" si="18"/>
        <v>Debit Card</v>
      </c>
      <c r="Q199" t="s">
        <v>390</v>
      </c>
      <c r="R199">
        <f t="shared" si="19"/>
        <v>2</v>
      </c>
    </row>
    <row r="200" spans="1:18" x14ac:dyDescent="0.3">
      <c r="A200" t="s">
        <v>210</v>
      </c>
      <c r="B200" s="3">
        <v>46058</v>
      </c>
      <c r="C200" t="s">
        <v>313</v>
      </c>
      <c r="D200" t="s">
        <v>428</v>
      </c>
      <c r="E200" t="s">
        <v>349</v>
      </c>
      <c r="F200" t="str">
        <f t="shared" si="15"/>
        <v>Pooja Chavan</v>
      </c>
      <c r="G200" t="s">
        <v>359</v>
      </c>
      <c r="H200" t="s">
        <v>372</v>
      </c>
      <c r="I200">
        <v>3</v>
      </c>
      <c r="J200">
        <v>952.45</v>
      </c>
      <c r="K200">
        <v>2857.35</v>
      </c>
      <c r="L200">
        <f t="shared" si="16"/>
        <v>2857.3500000000004</v>
      </c>
      <c r="M200" t="s">
        <v>381</v>
      </c>
      <c r="N200" t="str">
        <f t="shared" si="17"/>
        <v>Kolhapur</v>
      </c>
      <c r="O200" t="s">
        <v>384</v>
      </c>
      <c r="P200" t="str">
        <f t="shared" si="18"/>
        <v>Credit Card</v>
      </c>
      <c r="Q200" t="s">
        <v>389</v>
      </c>
      <c r="R200">
        <f t="shared" si="19"/>
        <v>3</v>
      </c>
    </row>
    <row r="201" spans="1:18" x14ac:dyDescent="0.3">
      <c r="A201" t="s">
        <v>211</v>
      </c>
      <c r="B201" s="3">
        <v>46254</v>
      </c>
      <c r="C201" t="s">
        <v>331</v>
      </c>
      <c r="D201" t="s">
        <v>412</v>
      </c>
      <c r="E201" t="s">
        <v>333</v>
      </c>
      <c r="F201" t="str">
        <f t="shared" si="15"/>
        <v>Aarav Sharma</v>
      </c>
      <c r="G201" t="s">
        <v>368</v>
      </c>
      <c r="H201" t="s">
        <v>373</v>
      </c>
      <c r="I201">
        <v>4</v>
      </c>
      <c r="J201">
        <v>6649.95</v>
      </c>
      <c r="K201">
        <v>26599.8</v>
      </c>
      <c r="L201">
        <f t="shared" si="16"/>
        <v>26599.8</v>
      </c>
      <c r="M201" t="s">
        <v>377</v>
      </c>
      <c r="N201" t="str">
        <f t="shared" si="17"/>
        <v>Aurangabad</v>
      </c>
      <c r="O201" t="s">
        <v>384</v>
      </c>
      <c r="P201" t="str">
        <f t="shared" si="18"/>
        <v>Credit Card</v>
      </c>
      <c r="Q201" t="s">
        <v>390</v>
      </c>
      <c r="R201">
        <f t="shared" si="19"/>
        <v>1</v>
      </c>
    </row>
    <row r="202" spans="1:18" x14ac:dyDescent="0.3">
      <c r="A202" t="s">
        <v>212</v>
      </c>
      <c r="B202" s="3">
        <v>46051</v>
      </c>
      <c r="C202" t="s">
        <v>330</v>
      </c>
      <c r="D202" t="s">
        <v>411</v>
      </c>
      <c r="E202" t="s">
        <v>332</v>
      </c>
      <c r="F202" t="str">
        <f t="shared" si="15"/>
        <v>Neha Pawar</v>
      </c>
      <c r="G202" t="s">
        <v>356</v>
      </c>
      <c r="H202" t="s">
        <v>370</v>
      </c>
      <c r="I202">
        <v>5</v>
      </c>
      <c r="J202">
        <v>120.67</v>
      </c>
      <c r="K202">
        <v>603.35</v>
      </c>
      <c r="L202">
        <f t="shared" si="16"/>
        <v>603.35</v>
      </c>
      <c r="M202" t="s">
        <v>377</v>
      </c>
      <c r="N202" t="str">
        <f t="shared" si="17"/>
        <v>Aurangabad</v>
      </c>
      <c r="O202" t="s">
        <v>383</v>
      </c>
      <c r="P202" t="str">
        <f t="shared" si="18"/>
        <v>UPI</v>
      </c>
      <c r="Q202" t="s">
        <v>390</v>
      </c>
      <c r="R202">
        <f t="shared" si="19"/>
        <v>2</v>
      </c>
    </row>
    <row r="203" spans="1:18" x14ac:dyDescent="0.3">
      <c r="A203" t="s">
        <v>213</v>
      </c>
      <c r="B203" s="3">
        <v>46182</v>
      </c>
      <c r="C203" t="s">
        <v>319</v>
      </c>
      <c r="D203" t="s">
        <v>425</v>
      </c>
      <c r="E203" t="s">
        <v>346</v>
      </c>
      <c r="F203" t="str">
        <f t="shared" si="15"/>
        <v>Rohan Deshmukh</v>
      </c>
      <c r="G203" t="s">
        <v>360</v>
      </c>
      <c r="H203" t="s">
        <v>371</v>
      </c>
      <c r="I203">
        <v>4</v>
      </c>
      <c r="J203">
        <v>1850.02</v>
      </c>
      <c r="K203">
        <v>7400.08</v>
      </c>
      <c r="L203">
        <f t="shared" si="16"/>
        <v>7400.08</v>
      </c>
      <c r="M203" t="s">
        <v>375</v>
      </c>
      <c r="N203" t="str">
        <f t="shared" si="17"/>
        <v>Pune</v>
      </c>
      <c r="O203" t="s">
        <v>385</v>
      </c>
      <c r="P203" t="str">
        <f t="shared" si="18"/>
        <v>Cash</v>
      </c>
      <c r="Q203" t="s">
        <v>391</v>
      </c>
      <c r="R203">
        <f t="shared" si="19"/>
        <v>1</v>
      </c>
    </row>
    <row r="204" spans="1:18" x14ac:dyDescent="0.3">
      <c r="A204" t="s">
        <v>214</v>
      </c>
      <c r="B204" s="3">
        <v>46170</v>
      </c>
      <c r="C204" t="s">
        <v>312</v>
      </c>
      <c r="D204" t="s">
        <v>430</v>
      </c>
      <c r="E204" t="s">
        <v>351</v>
      </c>
      <c r="F204" t="str">
        <f t="shared" si="15"/>
        <v>Vivek Joshi</v>
      </c>
      <c r="G204" t="s">
        <v>356</v>
      </c>
      <c r="H204" t="s">
        <v>370</v>
      </c>
      <c r="I204">
        <v>1</v>
      </c>
      <c r="J204">
        <v>123.17</v>
      </c>
      <c r="K204">
        <v>123.17</v>
      </c>
      <c r="L204">
        <f t="shared" si="16"/>
        <v>123.17</v>
      </c>
      <c r="M204" t="s">
        <v>377</v>
      </c>
      <c r="N204" t="str">
        <f t="shared" si="17"/>
        <v>Aurangabad</v>
      </c>
      <c r="O204" t="s">
        <v>385</v>
      </c>
      <c r="P204" t="str">
        <f t="shared" si="18"/>
        <v>Cash</v>
      </c>
      <c r="Q204" t="s">
        <v>390</v>
      </c>
      <c r="R204">
        <f t="shared" si="19"/>
        <v>2</v>
      </c>
    </row>
    <row r="205" spans="1:18" x14ac:dyDescent="0.3">
      <c r="A205" t="s">
        <v>215</v>
      </c>
      <c r="B205" s="3">
        <v>46129</v>
      </c>
      <c r="C205" t="s">
        <v>328</v>
      </c>
      <c r="D205" t="s">
        <v>425</v>
      </c>
      <c r="E205" t="s">
        <v>346</v>
      </c>
      <c r="F205" t="str">
        <f t="shared" si="15"/>
        <v>Rohan Deshmukh</v>
      </c>
      <c r="G205" t="s">
        <v>363</v>
      </c>
      <c r="H205" t="s">
        <v>370</v>
      </c>
      <c r="I205">
        <v>3</v>
      </c>
      <c r="J205">
        <v>237.03</v>
      </c>
      <c r="K205">
        <v>711.09</v>
      </c>
      <c r="L205">
        <f t="shared" si="16"/>
        <v>711.09</v>
      </c>
      <c r="M205" t="s">
        <v>378</v>
      </c>
      <c r="N205" t="str">
        <f t="shared" si="17"/>
        <v>Thane</v>
      </c>
      <c r="O205" t="s">
        <v>383</v>
      </c>
      <c r="P205" t="str">
        <f t="shared" si="18"/>
        <v>UPI</v>
      </c>
      <c r="Q205" t="s">
        <v>391</v>
      </c>
      <c r="R205">
        <f t="shared" si="19"/>
        <v>1</v>
      </c>
    </row>
    <row r="206" spans="1:18" x14ac:dyDescent="0.3">
      <c r="A206" t="s">
        <v>216</v>
      </c>
      <c r="B206" s="3">
        <v>46152</v>
      </c>
      <c r="C206" t="s">
        <v>314</v>
      </c>
      <c r="D206" t="s">
        <v>412</v>
      </c>
      <c r="E206" t="s">
        <v>333</v>
      </c>
      <c r="F206" t="str">
        <f t="shared" si="15"/>
        <v>Aarav Sharma</v>
      </c>
      <c r="G206" t="s">
        <v>356</v>
      </c>
      <c r="H206" t="s">
        <v>370</v>
      </c>
      <c r="I206">
        <v>5</v>
      </c>
      <c r="J206">
        <v>126.87</v>
      </c>
      <c r="K206">
        <v>634.35</v>
      </c>
      <c r="L206">
        <f t="shared" si="16"/>
        <v>634.35</v>
      </c>
      <c r="M206" t="s">
        <v>379</v>
      </c>
      <c r="N206" t="str">
        <f t="shared" si="17"/>
        <v>Navi Mumbai</v>
      </c>
      <c r="O206" t="s">
        <v>385</v>
      </c>
      <c r="P206" t="str">
        <f t="shared" si="18"/>
        <v>Cash</v>
      </c>
      <c r="Q206" t="s">
        <v>390</v>
      </c>
      <c r="R206">
        <f t="shared" si="19"/>
        <v>4</v>
      </c>
    </row>
    <row r="207" spans="1:18" x14ac:dyDescent="0.3">
      <c r="A207" t="s">
        <v>217</v>
      </c>
      <c r="B207" s="3">
        <v>46087</v>
      </c>
      <c r="C207" t="s">
        <v>321</v>
      </c>
      <c r="D207" t="s">
        <v>415</v>
      </c>
      <c r="E207" t="s">
        <v>336</v>
      </c>
      <c r="F207" t="str">
        <f t="shared" si="15"/>
        <v>Isha Gupta</v>
      </c>
      <c r="G207" t="s">
        <v>354</v>
      </c>
      <c r="H207" t="s">
        <v>369</v>
      </c>
      <c r="I207">
        <v>4</v>
      </c>
      <c r="J207">
        <v>1973.17</v>
      </c>
      <c r="K207">
        <v>7892.68</v>
      </c>
      <c r="L207">
        <f t="shared" si="16"/>
        <v>7892.68</v>
      </c>
      <c r="M207" t="s">
        <v>375</v>
      </c>
      <c r="N207" t="str">
        <f t="shared" si="17"/>
        <v>Pune</v>
      </c>
      <c r="O207" t="s">
        <v>387</v>
      </c>
      <c r="P207" t="str">
        <f t="shared" si="18"/>
        <v>Debit Card</v>
      </c>
      <c r="Q207" t="s">
        <v>390</v>
      </c>
      <c r="R207">
        <f t="shared" si="19"/>
        <v>1</v>
      </c>
    </row>
    <row r="208" spans="1:18" x14ac:dyDescent="0.3">
      <c r="A208" t="s">
        <v>218</v>
      </c>
      <c r="B208" s="3">
        <v>46211</v>
      </c>
      <c r="C208" t="s">
        <v>324</v>
      </c>
      <c r="D208" t="s">
        <v>430</v>
      </c>
      <c r="E208" t="s">
        <v>351</v>
      </c>
      <c r="F208" t="str">
        <f t="shared" si="15"/>
        <v>Vivek Joshi</v>
      </c>
      <c r="G208" t="s">
        <v>355</v>
      </c>
      <c r="H208" t="s">
        <v>369</v>
      </c>
      <c r="I208">
        <v>1</v>
      </c>
      <c r="J208">
        <v>738.01</v>
      </c>
      <c r="K208">
        <v>738.01</v>
      </c>
      <c r="L208">
        <f t="shared" si="16"/>
        <v>738.01</v>
      </c>
      <c r="M208" t="s">
        <v>380</v>
      </c>
      <c r="N208" t="str">
        <f t="shared" si="17"/>
        <v>Mumbai</v>
      </c>
      <c r="O208" t="s">
        <v>387</v>
      </c>
      <c r="P208" t="str">
        <f t="shared" si="18"/>
        <v>Debit Card</v>
      </c>
      <c r="Q208" t="s">
        <v>391</v>
      </c>
      <c r="R208">
        <f t="shared" si="19"/>
        <v>1</v>
      </c>
    </row>
    <row r="209" spans="1:18" x14ac:dyDescent="0.3">
      <c r="A209" t="s">
        <v>219</v>
      </c>
      <c r="B209" s="3">
        <v>46198</v>
      </c>
      <c r="C209" t="s">
        <v>319</v>
      </c>
      <c r="D209" t="s">
        <v>424</v>
      </c>
      <c r="E209" t="s">
        <v>345</v>
      </c>
      <c r="F209" t="str">
        <f t="shared" si="15"/>
        <v>Mansi Kulkarni</v>
      </c>
      <c r="G209" t="s">
        <v>364</v>
      </c>
      <c r="H209" t="s">
        <v>373</v>
      </c>
      <c r="I209">
        <v>2</v>
      </c>
      <c r="J209">
        <v>9061.65</v>
      </c>
      <c r="K209">
        <v>18123.3</v>
      </c>
      <c r="L209">
        <f t="shared" si="16"/>
        <v>18123.3</v>
      </c>
      <c r="M209" t="s">
        <v>374</v>
      </c>
      <c r="N209" t="str">
        <f t="shared" si="17"/>
        <v>Nashik</v>
      </c>
      <c r="O209" t="s">
        <v>384</v>
      </c>
      <c r="P209" t="str">
        <f t="shared" si="18"/>
        <v>Credit Card</v>
      </c>
      <c r="Q209" t="s">
        <v>390</v>
      </c>
      <c r="R209">
        <f t="shared" si="19"/>
        <v>2</v>
      </c>
    </row>
    <row r="210" spans="1:18" x14ac:dyDescent="0.3">
      <c r="A210" t="s">
        <v>220</v>
      </c>
      <c r="B210" s="3">
        <v>46074</v>
      </c>
      <c r="C210" t="s">
        <v>313</v>
      </c>
      <c r="D210" t="s">
        <v>417</v>
      </c>
      <c r="E210" t="s">
        <v>338</v>
      </c>
      <c r="F210" t="str">
        <f t="shared" si="15"/>
        <v>Aditya More</v>
      </c>
      <c r="G210" t="s">
        <v>355</v>
      </c>
      <c r="H210" t="s">
        <v>369</v>
      </c>
      <c r="I210">
        <v>4</v>
      </c>
      <c r="J210">
        <v>635.17999999999995</v>
      </c>
      <c r="K210">
        <v>2540.7199999999998</v>
      </c>
      <c r="L210">
        <f t="shared" si="16"/>
        <v>2540.7199999999998</v>
      </c>
      <c r="M210" t="s">
        <v>380</v>
      </c>
      <c r="N210" t="str">
        <f t="shared" si="17"/>
        <v>Mumbai</v>
      </c>
      <c r="O210" t="s">
        <v>387</v>
      </c>
      <c r="P210" t="str">
        <f t="shared" si="18"/>
        <v>Debit Card</v>
      </c>
      <c r="Q210" t="s">
        <v>390</v>
      </c>
      <c r="R210">
        <f t="shared" si="19"/>
        <v>1</v>
      </c>
    </row>
    <row r="211" spans="1:18" x14ac:dyDescent="0.3">
      <c r="A211" t="s">
        <v>221</v>
      </c>
      <c r="B211" s="3">
        <v>46162</v>
      </c>
      <c r="C211" t="s">
        <v>325</v>
      </c>
      <c r="D211" t="s">
        <v>419</v>
      </c>
      <c r="E211" t="s">
        <v>340</v>
      </c>
      <c r="F211" t="str">
        <f t="shared" si="15"/>
        <v>Rahul Jadhav</v>
      </c>
      <c r="G211" t="s">
        <v>356</v>
      </c>
      <c r="H211" t="s">
        <v>370</v>
      </c>
      <c r="I211">
        <v>4</v>
      </c>
      <c r="J211">
        <v>131.74</v>
      </c>
      <c r="K211">
        <v>526.96</v>
      </c>
      <c r="L211">
        <f t="shared" si="16"/>
        <v>526.96</v>
      </c>
      <c r="M211" t="s">
        <v>380</v>
      </c>
      <c r="N211" t="str">
        <f t="shared" si="17"/>
        <v>Mumbai</v>
      </c>
      <c r="O211" t="s">
        <v>384</v>
      </c>
      <c r="P211" t="str">
        <f t="shared" si="18"/>
        <v>Credit Card</v>
      </c>
      <c r="Q211" t="s">
        <v>390</v>
      </c>
      <c r="R211">
        <f t="shared" si="19"/>
        <v>1</v>
      </c>
    </row>
    <row r="212" spans="1:18" x14ac:dyDescent="0.3">
      <c r="A212" t="s">
        <v>222</v>
      </c>
      <c r="B212" s="3">
        <v>46107</v>
      </c>
      <c r="C212" t="s">
        <v>322</v>
      </c>
      <c r="D212" t="s">
        <v>423</v>
      </c>
      <c r="E212" t="s">
        <v>344</v>
      </c>
      <c r="F212" t="str">
        <f t="shared" si="15"/>
        <v>Sneha Kulkarni</v>
      </c>
      <c r="G212" t="s">
        <v>364</v>
      </c>
      <c r="H212" t="s">
        <v>373</v>
      </c>
      <c r="I212">
        <v>1</v>
      </c>
      <c r="J212">
        <v>9121.86</v>
      </c>
      <c r="K212">
        <v>9121.86</v>
      </c>
      <c r="L212">
        <f t="shared" si="16"/>
        <v>9121.86</v>
      </c>
      <c r="M212" t="s">
        <v>378</v>
      </c>
      <c r="N212" t="str">
        <f t="shared" si="17"/>
        <v>Thane</v>
      </c>
      <c r="O212" t="s">
        <v>385</v>
      </c>
      <c r="P212" t="str">
        <f t="shared" si="18"/>
        <v>Cash</v>
      </c>
      <c r="Q212" t="s">
        <v>390</v>
      </c>
      <c r="R212">
        <f t="shared" si="19"/>
        <v>1</v>
      </c>
    </row>
    <row r="213" spans="1:18" x14ac:dyDescent="0.3">
      <c r="A213" t="s">
        <v>223</v>
      </c>
      <c r="B213" s="3">
        <v>46121</v>
      </c>
      <c r="C213" t="s">
        <v>324</v>
      </c>
      <c r="D213" t="s">
        <v>429</v>
      </c>
      <c r="E213" t="s">
        <v>350</v>
      </c>
      <c r="F213" t="str">
        <f t="shared" si="15"/>
        <v>Priya Shah</v>
      </c>
      <c r="G213" t="s">
        <v>355</v>
      </c>
      <c r="H213" t="s">
        <v>369</v>
      </c>
      <c r="I213">
        <v>4</v>
      </c>
      <c r="J213">
        <v>755.25</v>
      </c>
      <c r="K213">
        <v>3021</v>
      </c>
      <c r="L213">
        <f t="shared" si="16"/>
        <v>3021</v>
      </c>
      <c r="M213" t="s">
        <v>381</v>
      </c>
      <c r="N213" t="str">
        <f t="shared" si="17"/>
        <v>Kolhapur</v>
      </c>
      <c r="O213" t="s">
        <v>385</v>
      </c>
      <c r="P213" t="str">
        <f t="shared" si="18"/>
        <v>Cash</v>
      </c>
      <c r="Q213" t="s">
        <v>390</v>
      </c>
      <c r="R213">
        <f t="shared" si="19"/>
        <v>2</v>
      </c>
    </row>
    <row r="214" spans="1:18" x14ac:dyDescent="0.3">
      <c r="A214" t="s">
        <v>224</v>
      </c>
      <c r="B214" s="3">
        <v>46044</v>
      </c>
      <c r="C214" t="s">
        <v>315</v>
      </c>
      <c r="D214" t="s">
        <v>425</v>
      </c>
      <c r="E214" t="s">
        <v>346</v>
      </c>
      <c r="F214" t="str">
        <f t="shared" si="15"/>
        <v>Rohan Deshmukh</v>
      </c>
      <c r="G214" t="s">
        <v>362</v>
      </c>
      <c r="H214" t="s">
        <v>372</v>
      </c>
      <c r="I214">
        <v>5</v>
      </c>
      <c r="J214">
        <v>2097.36</v>
      </c>
      <c r="K214">
        <v>10486.8</v>
      </c>
      <c r="L214">
        <f t="shared" si="16"/>
        <v>10486.800000000001</v>
      </c>
      <c r="M214" t="s">
        <v>379</v>
      </c>
      <c r="N214" t="str">
        <f t="shared" si="17"/>
        <v>Navi Mumbai</v>
      </c>
      <c r="O214" t="s">
        <v>386</v>
      </c>
      <c r="P214" t="str">
        <f t="shared" si="18"/>
        <v>Net Banking</v>
      </c>
      <c r="Q214" t="s">
        <v>390</v>
      </c>
      <c r="R214">
        <f t="shared" si="19"/>
        <v>1</v>
      </c>
    </row>
    <row r="215" spans="1:18" x14ac:dyDescent="0.3">
      <c r="A215" t="s">
        <v>225</v>
      </c>
      <c r="B215" s="3">
        <v>46043</v>
      </c>
      <c r="C215" t="s">
        <v>324</v>
      </c>
      <c r="D215" t="s">
        <v>428</v>
      </c>
      <c r="E215" t="s">
        <v>349</v>
      </c>
      <c r="F215" t="str">
        <f t="shared" si="15"/>
        <v>Pooja Chavan</v>
      </c>
      <c r="G215" t="s">
        <v>356</v>
      </c>
      <c r="H215" t="s">
        <v>370</v>
      </c>
      <c r="I215">
        <v>3</v>
      </c>
      <c r="J215">
        <v>115.71</v>
      </c>
      <c r="K215">
        <v>347.13</v>
      </c>
      <c r="L215">
        <f t="shared" si="16"/>
        <v>347.13</v>
      </c>
      <c r="M215" t="s">
        <v>377</v>
      </c>
      <c r="N215" t="str">
        <f t="shared" si="17"/>
        <v>Aurangabad</v>
      </c>
      <c r="O215" t="s">
        <v>385</v>
      </c>
      <c r="P215" t="str">
        <f t="shared" si="18"/>
        <v>Cash</v>
      </c>
      <c r="Q215" t="s">
        <v>391</v>
      </c>
      <c r="R215">
        <f t="shared" si="19"/>
        <v>1</v>
      </c>
    </row>
    <row r="216" spans="1:18" x14ac:dyDescent="0.3">
      <c r="A216" t="s">
        <v>226</v>
      </c>
      <c r="B216" s="3">
        <v>46136</v>
      </c>
      <c r="C216" t="s">
        <v>327</v>
      </c>
      <c r="D216" t="s">
        <v>431</v>
      </c>
      <c r="E216" t="s">
        <v>352</v>
      </c>
      <c r="F216" t="str">
        <f t="shared" si="15"/>
        <v>Akash Shinde</v>
      </c>
      <c r="G216" t="s">
        <v>355</v>
      </c>
      <c r="H216" t="s">
        <v>369</v>
      </c>
      <c r="I216">
        <v>4</v>
      </c>
      <c r="J216">
        <v>653.33000000000004</v>
      </c>
      <c r="K216">
        <v>2613.3200000000002</v>
      </c>
      <c r="L216">
        <f t="shared" si="16"/>
        <v>2613.3200000000002</v>
      </c>
      <c r="M216" t="s">
        <v>380</v>
      </c>
      <c r="N216" t="str">
        <f t="shared" si="17"/>
        <v>Mumbai</v>
      </c>
      <c r="O216" t="s">
        <v>387</v>
      </c>
      <c r="P216" t="str">
        <f t="shared" si="18"/>
        <v>Debit Card</v>
      </c>
      <c r="Q216" t="s">
        <v>391</v>
      </c>
      <c r="R216">
        <f t="shared" si="19"/>
        <v>1</v>
      </c>
    </row>
    <row r="217" spans="1:18" x14ac:dyDescent="0.3">
      <c r="A217" t="s">
        <v>227</v>
      </c>
      <c r="B217" s="3">
        <v>46225</v>
      </c>
      <c r="C217" t="s">
        <v>313</v>
      </c>
      <c r="D217" t="s">
        <v>425</v>
      </c>
      <c r="E217" t="s">
        <v>346</v>
      </c>
      <c r="F217" t="str">
        <f t="shared" si="15"/>
        <v>Rohan Deshmukh</v>
      </c>
      <c r="G217" t="s">
        <v>366</v>
      </c>
      <c r="H217" t="s">
        <v>373</v>
      </c>
      <c r="I217">
        <v>3</v>
      </c>
      <c r="J217">
        <v>12334.73</v>
      </c>
      <c r="K217">
        <v>37004.19</v>
      </c>
      <c r="L217">
        <f t="shared" si="16"/>
        <v>37004.19</v>
      </c>
      <c r="M217" t="s">
        <v>379</v>
      </c>
      <c r="N217" t="str">
        <f t="shared" si="17"/>
        <v>Navi Mumbai</v>
      </c>
      <c r="O217" t="s">
        <v>387</v>
      </c>
      <c r="P217" t="str">
        <f t="shared" si="18"/>
        <v>Debit Card</v>
      </c>
      <c r="Q217" t="s">
        <v>391</v>
      </c>
      <c r="R217">
        <f t="shared" si="19"/>
        <v>1</v>
      </c>
    </row>
    <row r="218" spans="1:18" x14ac:dyDescent="0.3">
      <c r="A218" t="s">
        <v>228</v>
      </c>
      <c r="B218" s="3">
        <v>46059</v>
      </c>
      <c r="C218" t="s">
        <v>323</v>
      </c>
      <c r="D218" t="s">
        <v>431</v>
      </c>
      <c r="E218" t="s">
        <v>352</v>
      </c>
      <c r="F218" t="str">
        <f t="shared" si="15"/>
        <v>Akash Shinde</v>
      </c>
      <c r="G218" t="s">
        <v>358</v>
      </c>
      <c r="H218" t="s">
        <v>372</v>
      </c>
      <c r="I218">
        <v>2</v>
      </c>
      <c r="J218">
        <v>3489.79</v>
      </c>
      <c r="K218">
        <v>6979.58</v>
      </c>
      <c r="L218">
        <f t="shared" si="16"/>
        <v>6979.58</v>
      </c>
      <c r="M218" t="s">
        <v>380</v>
      </c>
      <c r="N218" t="str">
        <f t="shared" si="17"/>
        <v>Mumbai</v>
      </c>
      <c r="O218" t="s">
        <v>384</v>
      </c>
      <c r="P218" t="str">
        <f t="shared" si="18"/>
        <v>Credit Card</v>
      </c>
      <c r="Q218" t="s">
        <v>390</v>
      </c>
      <c r="R218">
        <f t="shared" si="19"/>
        <v>1</v>
      </c>
    </row>
    <row r="219" spans="1:18" x14ac:dyDescent="0.3">
      <c r="A219" t="s">
        <v>229</v>
      </c>
      <c r="B219" s="3">
        <v>46266</v>
      </c>
      <c r="C219" t="s">
        <v>317</v>
      </c>
      <c r="D219" t="s">
        <v>427</v>
      </c>
      <c r="E219" t="s">
        <v>348</v>
      </c>
      <c r="F219" t="str">
        <f t="shared" si="15"/>
        <v>Ananya Patil</v>
      </c>
      <c r="G219" t="s">
        <v>360</v>
      </c>
      <c r="H219" t="s">
        <v>371</v>
      </c>
      <c r="I219">
        <v>3</v>
      </c>
      <c r="J219">
        <v>1750.37</v>
      </c>
      <c r="K219">
        <v>5251.11</v>
      </c>
      <c r="L219">
        <f t="shared" si="16"/>
        <v>5251.11</v>
      </c>
      <c r="M219" t="s">
        <v>374</v>
      </c>
      <c r="N219" t="str">
        <f t="shared" si="17"/>
        <v>Nashik</v>
      </c>
      <c r="O219" t="s">
        <v>385</v>
      </c>
      <c r="P219" t="str">
        <f t="shared" si="18"/>
        <v>Cash</v>
      </c>
      <c r="Q219" t="s">
        <v>390</v>
      </c>
      <c r="R219">
        <f t="shared" si="19"/>
        <v>2</v>
      </c>
    </row>
    <row r="220" spans="1:18" x14ac:dyDescent="0.3">
      <c r="A220" t="s">
        <v>230</v>
      </c>
      <c r="B220" s="3">
        <v>46169</v>
      </c>
      <c r="C220" t="s">
        <v>320</v>
      </c>
      <c r="D220" t="s">
        <v>421</v>
      </c>
      <c r="E220" t="s">
        <v>342</v>
      </c>
      <c r="F220" t="str">
        <f t="shared" si="15"/>
        <v>Nikhil Pawar</v>
      </c>
      <c r="G220" t="s">
        <v>364</v>
      </c>
      <c r="H220" t="s">
        <v>373</v>
      </c>
      <c r="I220">
        <v>4</v>
      </c>
      <c r="J220">
        <v>8947.24</v>
      </c>
      <c r="K220">
        <v>35788.959999999999</v>
      </c>
      <c r="L220">
        <f t="shared" si="16"/>
        <v>35788.959999999999</v>
      </c>
      <c r="M220" t="s">
        <v>378</v>
      </c>
      <c r="N220" t="str">
        <f t="shared" si="17"/>
        <v>Thane</v>
      </c>
      <c r="O220" t="s">
        <v>385</v>
      </c>
      <c r="P220" t="str">
        <f t="shared" si="18"/>
        <v>Cash</v>
      </c>
      <c r="Q220" t="s">
        <v>390</v>
      </c>
      <c r="R220">
        <f t="shared" si="19"/>
        <v>2</v>
      </c>
    </row>
    <row r="221" spans="1:18" x14ac:dyDescent="0.3">
      <c r="A221" t="s">
        <v>231</v>
      </c>
      <c r="B221" s="3">
        <v>46052</v>
      </c>
      <c r="C221" t="s">
        <v>321</v>
      </c>
      <c r="D221" t="s">
        <v>429</v>
      </c>
      <c r="E221" t="s">
        <v>350</v>
      </c>
      <c r="F221" t="str">
        <f t="shared" si="15"/>
        <v>Priya Shah</v>
      </c>
      <c r="G221" t="s">
        <v>354</v>
      </c>
      <c r="H221" t="s">
        <v>369</v>
      </c>
      <c r="I221">
        <v>3</v>
      </c>
      <c r="J221">
        <v>1709.86</v>
      </c>
      <c r="K221">
        <v>5129.58</v>
      </c>
      <c r="L221">
        <f t="shared" si="16"/>
        <v>5129.58</v>
      </c>
      <c r="M221" t="s">
        <v>381</v>
      </c>
      <c r="N221" t="str">
        <f t="shared" si="17"/>
        <v>Kolhapur</v>
      </c>
      <c r="O221" t="s">
        <v>386</v>
      </c>
      <c r="P221" t="str">
        <f t="shared" si="18"/>
        <v>Net Banking</v>
      </c>
      <c r="Q221" t="s">
        <v>390</v>
      </c>
      <c r="R221">
        <f t="shared" si="19"/>
        <v>2</v>
      </c>
    </row>
    <row r="222" spans="1:18" x14ac:dyDescent="0.3">
      <c r="A222" t="s">
        <v>232</v>
      </c>
      <c r="B222" s="3">
        <v>46221</v>
      </c>
      <c r="C222" t="s">
        <v>322</v>
      </c>
      <c r="D222" t="s">
        <v>431</v>
      </c>
      <c r="E222" t="s">
        <v>352</v>
      </c>
      <c r="F222" t="str">
        <f t="shared" si="15"/>
        <v>Akash Shinde</v>
      </c>
      <c r="G222" t="s">
        <v>362</v>
      </c>
      <c r="H222" t="s">
        <v>372</v>
      </c>
      <c r="I222">
        <v>5</v>
      </c>
      <c r="J222">
        <v>2031.81</v>
      </c>
      <c r="K222">
        <v>10159.049999999999</v>
      </c>
      <c r="L222">
        <f t="shared" si="16"/>
        <v>10159.049999999999</v>
      </c>
      <c r="M222" t="s">
        <v>376</v>
      </c>
      <c r="N222" t="str">
        <f t="shared" si="17"/>
        <v>Nagpur</v>
      </c>
      <c r="O222" t="s">
        <v>386</v>
      </c>
      <c r="P222" t="str">
        <f t="shared" si="18"/>
        <v>Net Banking</v>
      </c>
      <c r="Q222" t="s">
        <v>390</v>
      </c>
      <c r="R222">
        <f t="shared" si="19"/>
        <v>2</v>
      </c>
    </row>
    <row r="223" spans="1:18" x14ac:dyDescent="0.3">
      <c r="A223" t="s">
        <v>233</v>
      </c>
      <c r="B223" s="3">
        <v>46057</v>
      </c>
      <c r="C223" t="s">
        <v>331</v>
      </c>
      <c r="D223" t="s">
        <v>431</v>
      </c>
      <c r="E223" t="s">
        <v>352</v>
      </c>
      <c r="F223" t="str">
        <f t="shared" si="15"/>
        <v>Akash Shinde</v>
      </c>
      <c r="G223" t="s">
        <v>355</v>
      </c>
      <c r="H223" t="s">
        <v>369</v>
      </c>
      <c r="I223">
        <v>4</v>
      </c>
      <c r="J223">
        <v>658.02</v>
      </c>
      <c r="K223">
        <v>2632.08</v>
      </c>
      <c r="L223">
        <f t="shared" si="16"/>
        <v>2632.08</v>
      </c>
      <c r="M223" t="s">
        <v>374</v>
      </c>
      <c r="N223" t="str">
        <f t="shared" si="17"/>
        <v>Nashik</v>
      </c>
      <c r="O223" t="s">
        <v>385</v>
      </c>
      <c r="P223" t="str">
        <f t="shared" si="18"/>
        <v>Cash</v>
      </c>
      <c r="Q223" t="s">
        <v>390</v>
      </c>
      <c r="R223">
        <f t="shared" si="19"/>
        <v>2</v>
      </c>
    </row>
    <row r="224" spans="1:18" x14ac:dyDescent="0.3">
      <c r="A224" t="s">
        <v>234</v>
      </c>
      <c r="B224" s="3">
        <v>46204</v>
      </c>
      <c r="C224" t="s">
        <v>331</v>
      </c>
      <c r="D224" t="s">
        <v>420</v>
      </c>
      <c r="E224" t="s">
        <v>341</v>
      </c>
      <c r="F224" t="str">
        <f t="shared" si="15"/>
        <v>Kavya Joshi</v>
      </c>
      <c r="G224" t="s">
        <v>358</v>
      </c>
      <c r="H224" t="s">
        <v>372</v>
      </c>
      <c r="I224">
        <v>3</v>
      </c>
      <c r="J224">
        <v>3307.42</v>
      </c>
      <c r="K224">
        <v>9922.26</v>
      </c>
      <c r="L224">
        <f t="shared" si="16"/>
        <v>9922.26</v>
      </c>
      <c r="M224" t="s">
        <v>377</v>
      </c>
      <c r="N224" t="str">
        <f t="shared" si="17"/>
        <v>Aurangabad</v>
      </c>
      <c r="O224" t="s">
        <v>387</v>
      </c>
      <c r="P224" t="str">
        <f t="shared" si="18"/>
        <v>Debit Card</v>
      </c>
      <c r="Q224" t="s">
        <v>390</v>
      </c>
      <c r="R224">
        <f t="shared" si="19"/>
        <v>1</v>
      </c>
    </row>
    <row r="225" spans="1:18" x14ac:dyDescent="0.3">
      <c r="A225" t="s">
        <v>235</v>
      </c>
      <c r="B225" s="3">
        <v>46153</v>
      </c>
      <c r="C225" t="s">
        <v>312</v>
      </c>
      <c r="D225" t="s">
        <v>423</v>
      </c>
      <c r="E225" t="s">
        <v>344</v>
      </c>
      <c r="F225" t="str">
        <f t="shared" si="15"/>
        <v>Sneha Kulkarni</v>
      </c>
      <c r="G225" t="s">
        <v>355</v>
      </c>
      <c r="H225" t="s">
        <v>369</v>
      </c>
      <c r="I225">
        <v>2</v>
      </c>
      <c r="J225">
        <v>741.12</v>
      </c>
      <c r="K225">
        <v>1482.24</v>
      </c>
      <c r="L225">
        <f t="shared" si="16"/>
        <v>1482.24</v>
      </c>
      <c r="M225" t="s">
        <v>376</v>
      </c>
      <c r="N225" t="str">
        <f t="shared" si="17"/>
        <v>Nagpur</v>
      </c>
      <c r="O225" t="s">
        <v>384</v>
      </c>
      <c r="P225" t="str">
        <f t="shared" si="18"/>
        <v>Credit Card</v>
      </c>
      <c r="Q225" t="s">
        <v>390</v>
      </c>
      <c r="R225">
        <f t="shared" si="19"/>
        <v>1</v>
      </c>
    </row>
    <row r="226" spans="1:18" x14ac:dyDescent="0.3">
      <c r="A226" t="s">
        <v>236</v>
      </c>
      <c r="B226" s="3">
        <v>46164</v>
      </c>
      <c r="C226" t="s">
        <v>317</v>
      </c>
      <c r="D226" t="s">
        <v>415</v>
      </c>
      <c r="E226" t="s">
        <v>336</v>
      </c>
      <c r="F226" t="str">
        <f t="shared" si="15"/>
        <v>Isha Gupta</v>
      </c>
      <c r="G226" t="s">
        <v>358</v>
      </c>
      <c r="H226" t="s">
        <v>372</v>
      </c>
      <c r="I226">
        <v>4</v>
      </c>
      <c r="J226">
        <v>2896.82</v>
      </c>
      <c r="K226">
        <v>11587.28</v>
      </c>
      <c r="L226">
        <f t="shared" si="16"/>
        <v>11587.28</v>
      </c>
      <c r="M226" t="s">
        <v>381</v>
      </c>
      <c r="N226" t="str">
        <f t="shared" si="17"/>
        <v>Kolhapur</v>
      </c>
      <c r="O226" t="s">
        <v>386</v>
      </c>
      <c r="P226" t="str">
        <f t="shared" si="18"/>
        <v>Net Banking</v>
      </c>
      <c r="Q226" t="s">
        <v>390</v>
      </c>
      <c r="R226">
        <f t="shared" si="19"/>
        <v>1</v>
      </c>
    </row>
    <row r="227" spans="1:18" x14ac:dyDescent="0.3">
      <c r="A227" t="s">
        <v>237</v>
      </c>
      <c r="B227" s="3">
        <v>46124</v>
      </c>
      <c r="C227" t="s">
        <v>325</v>
      </c>
      <c r="D227" t="s">
        <v>421</v>
      </c>
      <c r="E227" t="s">
        <v>342</v>
      </c>
      <c r="F227" t="str">
        <f t="shared" si="15"/>
        <v>Nikhil Pawar</v>
      </c>
      <c r="G227" t="s">
        <v>363</v>
      </c>
      <c r="H227" t="s">
        <v>370</v>
      </c>
      <c r="I227">
        <v>1</v>
      </c>
      <c r="J227">
        <v>228.29</v>
      </c>
      <c r="K227">
        <v>228.29</v>
      </c>
      <c r="L227">
        <f t="shared" si="16"/>
        <v>228.29</v>
      </c>
      <c r="M227" t="s">
        <v>379</v>
      </c>
      <c r="N227" t="str">
        <f t="shared" si="17"/>
        <v>Navi Mumbai</v>
      </c>
      <c r="O227" t="s">
        <v>385</v>
      </c>
      <c r="P227" t="str">
        <f t="shared" si="18"/>
        <v>Cash</v>
      </c>
      <c r="Q227" t="s">
        <v>391</v>
      </c>
      <c r="R227">
        <f t="shared" si="19"/>
        <v>1</v>
      </c>
    </row>
    <row r="228" spans="1:18" x14ac:dyDescent="0.3">
      <c r="A228" t="s">
        <v>238</v>
      </c>
      <c r="B228" s="3">
        <v>46187</v>
      </c>
      <c r="C228" t="s">
        <v>331</v>
      </c>
      <c r="D228" t="s">
        <v>431</v>
      </c>
      <c r="E228" t="s">
        <v>352</v>
      </c>
      <c r="F228" t="str">
        <f t="shared" si="15"/>
        <v>Akash Shinde</v>
      </c>
      <c r="G228" t="s">
        <v>365</v>
      </c>
      <c r="H228" t="s">
        <v>371</v>
      </c>
      <c r="I228">
        <v>2</v>
      </c>
      <c r="J228">
        <v>30645.33</v>
      </c>
      <c r="K228">
        <v>61290.66</v>
      </c>
      <c r="L228">
        <f t="shared" si="16"/>
        <v>61290.66</v>
      </c>
      <c r="M228" t="s">
        <v>381</v>
      </c>
      <c r="N228" t="str">
        <f t="shared" si="17"/>
        <v>Kolhapur</v>
      </c>
      <c r="O228" t="s">
        <v>386</v>
      </c>
      <c r="P228" t="str">
        <f t="shared" si="18"/>
        <v>Net Banking</v>
      </c>
      <c r="Q228" t="s">
        <v>390</v>
      </c>
      <c r="R228">
        <f t="shared" si="19"/>
        <v>2</v>
      </c>
    </row>
    <row r="229" spans="1:18" x14ac:dyDescent="0.3">
      <c r="A229" t="s">
        <v>239</v>
      </c>
      <c r="B229" s="3">
        <v>46069</v>
      </c>
      <c r="C229" t="s">
        <v>320</v>
      </c>
      <c r="D229" t="s">
        <v>413</v>
      </c>
      <c r="E229" t="s">
        <v>334</v>
      </c>
      <c r="F229" t="str">
        <f t="shared" si="15"/>
        <v>Riya Desai</v>
      </c>
      <c r="G229" t="s">
        <v>361</v>
      </c>
      <c r="H229" t="s">
        <v>371</v>
      </c>
      <c r="I229">
        <v>5</v>
      </c>
      <c r="J229">
        <v>2569.9</v>
      </c>
      <c r="K229">
        <v>12849.5</v>
      </c>
      <c r="L229">
        <f t="shared" si="16"/>
        <v>12849.5</v>
      </c>
      <c r="M229" t="s">
        <v>380</v>
      </c>
      <c r="N229" t="str">
        <f t="shared" si="17"/>
        <v>Mumbai</v>
      </c>
      <c r="O229" t="s">
        <v>383</v>
      </c>
      <c r="P229" t="str">
        <f t="shared" si="18"/>
        <v>UPI</v>
      </c>
      <c r="Q229" t="s">
        <v>391</v>
      </c>
      <c r="R229">
        <f t="shared" si="19"/>
        <v>3</v>
      </c>
    </row>
    <row r="230" spans="1:18" x14ac:dyDescent="0.3">
      <c r="A230" t="s">
        <v>240</v>
      </c>
      <c r="B230" s="3">
        <v>46105</v>
      </c>
      <c r="C230" t="s">
        <v>312</v>
      </c>
      <c r="D230" t="s">
        <v>415</v>
      </c>
      <c r="E230" t="s">
        <v>336</v>
      </c>
      <c r="F230" t="str">
        <f t="shared" si="15"/>
        <v>Isha Gupta</v>
      </c>
      <c r="G230" t="s">
        <v>361</v>
      </c>
      <c r="H230" t="s">
        <v>371</v>
      </c>
      <c r="I230">
        <v>3</v>
      </c>
      <c r="J230">
        <v>2332.33</v>
      </c>
      <c r="K230">
        <v>6996.99</v>
      </c>
      <c r="L230">
        <f t="shared" si="16"/>
        <v>6996.99</v>
      </c>
      <c r="M230" t="s">
        <v>377</v>
      </c>
      <c r="N230" t="str">
        <f t="shared" si="17"/>
        <v>Aurangabad</v>
      </c>
      <c r="O230" t="s">
        <v>383</v>
      </c>
      <c r="P230" t="str">
        <f t="shared" si="18"/>
        <v>UPI</v>
      </c>
      <c r="Q230" t="s">
        <v>390</v>
      </c>
      <c r="R230">
        <f t="shared" si="19"/>
        <v>2</v>
      </c>
    </row>
    <row r="231" spans="1:18" x14ac:dyDescent="0.3">
      <c r="A231" t="s">
        <v>241</v>
      </c>
      <c r="B231" s="3">
        <v>46183</v>
      </c>
      <c r="C231" t="s">
        <v>330</v>
      </c>
      <c r="D231" t="s">
        <v>422</v>
      </c>
      <c r="E231" t="s">
        <v>343</v>
      </c>
      <c r="F231" t="str">
        <f t="shared" si="15"/>
        <v>Tanvi Shah</v>
      </c>
      <c r="G231" t="s">
        <v>360</v>
      </c>
      <c r="H231" t="s">
        <v>371</v>
      </c>
      <c r="I231">
        <v>5</v>
      </c>
      <c r="J231">
        <v>1718.8</v>
      </c>
      <c r="K231">
        <v>8594</v>
      </c>
      <c r="L231">
        <f t="shared" si="16"/>
        <v>8594</v>
      </c>
      <c r="M231" t="s">
        <v>375</v>
      </c>
      <c r="N231" t="str">
        <f t="shared" si="17"/>
        <v>Pune</v>
      </c>
      <c r="O231" t="s">
        <v>386</v>
      </c>
      <c r="P231" t="str">
        <f t="shared" si="18"/>
        <v>Net Banking</v>
      </c>
      <c r="Q231" t="s">
        <v>389</v>
      </c>
      <c r="R231">
        <f t="shared" si="19"/>
        <v>1</v>
      </c>
    </row>
    <row r="232" spans="1:18" x14ac:dyDescent="0.3">
      <c r="A232" t="s">
        <v>242</v>
      </c>
      <c r="B232" s="3">
        <v>46062</v>
      </c>
      <c r="C232" t="s">
        <v>328</v>
      </c>
      <c r="D232" t="s">
        <v>422</v>
      </c>
      <c r="E232" t="s">
        <v>343</v>
      </c>
      <c r="F232" t="str">
        <f t="shared" si="15"/>
        <v>Tanvi Shah</v>
      </c>
      <c r="G232" t="s">
        <v>361</v>
      </c>
      <c r="H232" t="s">
        <v>371</v>
      </c>
      <c r="I232">
        <v>5</v>
      </c>
      <c r="J232">
        <v>2720.8</v>
      </c>
      <c r="K232">
        <v>13604</v>
      </c>
      <c r="L232">
        <f t="shared" si="16"/>
        <v>13604</v>
      </c>
      <c r="M232" t="s">
        <v>378</v>
      </c>
      <c r="N232" t="str">
        <f t="shared" si="17"/>
        <v>Thane</v>
      </c>
      <c r="O232" t="s">
        <v>386</v>
      </c>
      <c r="P232" t="str">
        <f t="shared" si="18"/>
        <v>Net Banking</v>
      </c>
      <c r="Q232" t="s">
        <v>390</v>
      </c>
      <c r="R232">
        <f t="shared" si="19"/>
        <v>2</v>
      </c>
    </row>
    <row r="233" spans="1:18" x14ac:dyDescent="0.3">
      <c r="A233" t="s">
        <v>243</v>
      </c>
      <c r="B233" s="3">
        <v>46265</v>
      </c>
      <c r="C233" t="s">
        <v>317</v>
      </c>
      <c r="D233" t="s">
        <v>419</v>
      </c>
      <c r="E233" t="s">
        <v>340</v>
      </c>
      <c r="F233" t="str">
        <f t="shared" si="15"/>
        <v>Rahul Jadhav</v>
      </c>
      <c r="G233" t="s">
        <v>359</v>
      </c>
      <c r="H233" t="s">
        <v>372</v>
      </c>
      <c r="I233">
        <v>1</v>
      </c>
      <c r="J233">
        <v>824.62</v>
      </c>
      <c r="K233">
        <v>824.62</v>
      </c>
      <c r="L233">
        <f t="shared" si="16"/>
        <v>824.62</v>
      </c>
      <c r="M233" t="s">
        <v>376</v>
      </c>
      <c r="N233" t="str">
        <f t="shared" si="17"/>
        <v>Nagpur</v>
      </c>
      <c r="O233" t="s">
        <v>386</v>
      </c>
      <c r="P233" t="str">
        <f t="shared" si="18"/>
        <v>Net Banking</v>
      </c>
      <c r="Q233" t="s">
        <v>390</v>
      </c>
      <c r="R233">
        <f t="shared" si="19"/>
        <v>1</v>
      </c>
    </row>
    <row r="234" spans="1:18" x14ac:dyDescent="0.3">
      <c r="A234" t="s">
        <v>244</v>
      </c>
      <c r="B234" s="3">
        <v>46183</v>
      </c>
      <c r="C234" t="s">
        <v>314</v>
      </c>
      <c r="D234" t="s">
        <v>428</v>
      </c>
      <c r="E234" t="s">
        <v>349</v>
      </c>
      <c r="F234" t="str">
        <f t="shared" si="15"/>
        <v>Pooja Chavan</v>
      </c>
      <c r="G234" t="s">
        <v>363</v>
      </c>
      <c r="H234" t="s">
        <v>370</v>
      </c>
      <c r="I234">
        <v>1</v>
      </c>
      <c r="J234">
        <v>249.9</v>
      </c>
      <c r="K234">
        <v>249.9</v>
      </c>
      <c r="L234">
        <f t="shared" si="16"/>
        <v>249.9</v>
      </c>
      <c r="M234" t="s">
        <v>377</v>
      </c>
      <c r="N234" t="str">
        <f t="shared" si="17"/>
        <v>Aurangabad</v>
      </c>
      <c r="O234" t="s">
        <v>385</v>
      </c>
      <c r="P234" t="str">
        <f t="shared" si="18"/>
        <v>Cash</v>
      </c>
      <c r="Q234" t="s">
        <v>390</v>
      </c>
      <c r="R234">
        <f t="shared" si="19"/>
        <v>1</v>
      </c>
    </row>
    <row r="235" spans="1:18" x14ac:dyDescent="0.3">
      <c r="A235" t="s">
        <v>245</v>
      </c>
      <c r="B235" s="3">
        <v>46041</v>
      </c>
      <c r="C235" t="s">
        <v>313</v>
      </c>
      <c r="D235" t="s">
        <v>429</v>
      </c>
      <c r="E235" t="s">
        <v>350</v>
      </c>
      <c r="F235" t="str">
        <f t="shared" si="15"/>
        <v>Priya Shah</v>
      </c>
      <c r="G235" t="s">
        <v>358</v>
      </c>
      <c r="H235" t="s">
        <v>372</v>
      </c>
      <c r="I235">
        <v>4</v>
      </c>
      <c r="J235">
        <v>3070.36</v>
      </c>
      <c r="K235">
        <v>12281.44</v>
      </c>
      <c r="L235">
        <f t="shared" si="16"/>
        <v>12281.44</v>
      </c>
      <c r="M235" t="s">
        <v>381</v>
      </c>
      <c r="N235" t="str">
        <f t="shared" si="17"/>
        <v>Kolhapur</v>
      </c>
      <c r="O235" t="s">
        <v>385</v>
      </c>
      <c r="P235" t="str">
        <f t="shared" si="18"/>
        <v>Cash</v>
      </c>
      <c r="Q235" t="s">
        <v>390</v>
      </c>
      <c r="R235">
        <f t="shared" si="19"/>
        <v>2</v>
      </c>
    </row>
    <row r="236" spans="1:18" x14ac:dyDescent="0.3">
      <c r="A236" t="s">
        <v>246</v>
      </c>
      <c r="B236" s="3">
        <v>46059</v>
      </c>
      <c r="C236" t="s">
        <v>324</v>
      </c>
      <c r="D236" t="s">
        <v>414</v>
      </c>
      <c r="E236" t="s">
        <v>335</v>
      </c>
      <c r="F236" t="str">
        <f t="shared" si="15"/>
        <v>Karan Mehta</v>
      </c>
      <c r="G236" t="s">
        <v>368</v>
      </c>
      <c r="H236" t="s">
        <v>373</v>
      </c>
      <c r="I236">
        <v>2</v>
      </c>
      <c r="J236">
        <v>6292.25</v>
      </c>
      <c r="K236">
        <v>12584.5</v>
      </c>
      <c r="L236">
        <f t="shared" si="16"/>
        <v>12584.5</v>
      </c>
      <c r="M236" t="s">
        <v>378</v>
      </c>
      <c r="N236" t="str">
        <f t="shared" si="17"/>
        <v>Thane</v>
      </c>
      <c r="O236" t="s">
        <v>385</v>
      </c>
      <c r="P236" t="str">
        <f t="shared" si="18"/>
        <v>Cash</v>
      </c>
      <c r="Q236" t="s">
        <v>390</v>
      </c>
      <c r="R236">
        <f t="shared" si="19"/>
        <v>1</v>
      </c>
    </row>
    <row r="237" spans="1:18" x14ac:dyDescent="0.3">
      <c r="A237" t="s">
        <v>247</v>
      </c>
      <c r="B237" s="3">
        <v>46050</v>
      </c>
      <c r="C237" t="s">
        <v>324</v>
      </c>
      <c r="D237" t="s">
        <v>411</v>
      </c>
      <c r="E237" t="s">
        <v>332</v>
      </c>
      <c r="F237" t="str">
        <f t="shared" si="15"/>
        <v>Neha Pawar</v>
      </c>
      <c r="G237" t="s">
        <v>358</v>
      </c>
      <c r="H237" t="s">
        <v>372</v>
      </c>
      <c r="I237">
        <v>3</v>
      </c>
      <c r="J237">
        <v>3209.59</v>
      </c>
      <c r="K237">
        <v>9628.77</v>
      </c>
      <c r="L237">
        <f t="shared" si="16"/>
        <v>9628.77</v>
      </c>
      <c r="M237" t="s">
        <v>381</v>
      </c>
      <c r="N237" t="str">
        <f t="shared" si="17"/>
        <v>Kolhapur</v>
      </c>
      <c r="O237" t="s">
        <v>383</v>
      </c>
      <c r="P237" t="str">
        <f t="shared" si="18"/>
        <v>UPI</v>
      </c>
      <c r="Q237" t="s">
        <v>390</v>
      </c>
      <c r="R237">
        <f t="shared" si="19"/>
        <v>3</v>
      </c>
    </row>
    <row r="238" spans="1:18" x14ac:dyDescent="0.3">
      <c r="A238" t="s">
        <v>248</v>
      </c>
      <c r="B238" s="3">
        <v>46035</v>
      </c>
      <c r="C238" t="s">
        <v>330</v>
      </c>
      <c r="D238" t="s">
        <v>416</v>
      </c>
      <c r="E238" t="s">
        <v>337</v>
      </c>
      <c r="F238" t="str">
        <f t="shared" si="15"/>
        <v>Siddharth Patil</v>
      </c>
      <c r="G238" t="s">
        <v>368</v>
      </c>
      <c r="H238" t="s">
        <v>373</v>
      </c>
      <c r="I238">
        <v>2</v>
      </c>
      <c r="J238">
        <v>6033.14</v>
      </c>
      <c r="K238">
        <v>12066.28</v>
      </c>
      <c r="L238">
        <f t="shared" si="16"/>
        <v>12066.28</v>
      </c>
      <c r="M238" t="s">
        <v>379</v>
      </c>
      <c r="N238" t="str">
        <f t="shared" si="17"/>
        <v>Navi Mumbai</v>
      </c>
      <c r="O238" t="s">
        <v>384</v>
      </c>
      <c r="P238" t="str">
        <f t="shared" si="18"/>
        <v>Credit Card</v>
      </c>
      <c r="Q238" t="s">
        <v>390</v>
      </c>
      <c r="R238">
        <f t="shared" si="19"/>
        <v>1</v>
      </c>
    </row>
    <row r="239" spans="1:18" x14ac:dyDescent="0.3">
      <c r="A239" t="s">
        <v>249</v>
      </c>
      <c r="B239" s="3">
        <v>46207</v>
      </c>
      <c r="C239" t="s">
        <v>324</v>
      </c>
      <c r="D239" t="s">
        <v>417</v>
      </c>
      <c r="E239" t="s">
        <v>338</v>
      </c>
      <c r="F239" t="str">
        <f t="shared" si="15"/>
        <v>Aditya More</v>
      </c>
      <c r="G239" t="s">
        <v>359</v>
      </c>
      <c r="H239" t="s">
        <v>372</v>
      </c>
      <c r="I239">
        <v>3</v>
      </c>
      <c r="J239">
        <v>978.08</v>
      </c>
      <c r="K239">
        <v>2934.24</v>
      </c>
      <c r="L239">
        <f t="shared" si="16"/>
        <v>2934.2400000000002</v>
      </c>
      <c r="M239" t="s">
        <v>374</v>
      </c>
      <c r="N239" t="str">
        <f t="shared" si="17"/>
        <v>Nashik</v>
      </c>
      <c r="O239" t="s">
        <v>385</v>
      </c>
      <c r="P239" t="str">
        <f t="shared" si="18"/>
        <v>Cash</v>
      </c>
      <c r="Q239" t="s">
        <v>391</v>
      </c>
      <c r="R239">
        <f t="shared" si="19"/>
        <v>1</v>
      </c>
    </row>
    <row r="240" spans="1:18" x14ac:dyDescent="0.3">
      <c r="A240" t="s">
        <v>250</v>
      </c>
      <c r="B240" s="3">
        <v>46150</v>
      </c>
      <c r="C240" t="s">
        <v>321</v>
      </c>
      <c r="D240" t="s">
        <v>425</v>
      </c>
      <c r="E240" t="s">
        <v>346</v>
      </c>
      <c r="F240" t="str">
        <f t="shared" si="15"/>
        <v>Rohan Deshmukh</v>
      </c>
      <c r="G240" t="s">
        <v>368</v>
      </c>
      <c r="H240" t="s">
        <v>373</v>
      </c>
      <c r="I240">
        <v>4</v>
      </c>
      <c r="J240">
        <v>6992.8</v>
      </c>
      <c r="K240">
        <v>27971.200000000001</v>
      </c>
      <c r="L240">
        <f t="shared" si="16"/>
        <v>27971.200000000001</v>
      </c>
      <c r="M240" t="s">
        <v>379</v>
      </c>
      <c r="N240" t="str">
        <f t="shared" si="17"/>
        <v>Navi Mumbai</v>
      </c>
      <c r="O240" t="s">
        <v>386</v>
      </c>
      <c r="P240" t="str">
        <f t="shared" si="18"/>
        <v>Net Banking</v>
      </c>
      <c r="Q240" t="s">
        <v>390</v>
      </c>
      <c r="R240">
        <f t="shared" si="19"/>
        <v>2</v>
      </c>
    </row>
    <row r="241" spans="1:18" x14ac:dyDescent="0.3">
      <c r="A241" t="s">
        <v>251</v>
      </c>
      <c r="B241" s="3">
        <v>46035</v>
      </c>
      <c r="C241" t="s">
        <v>313</v>
      </c>
      <c r="D241" t="s">
        <v>428</v>
      </c>
      <c r="E241" t="s">
        <v>349</v>
      </c>
      <c r="F241" t="str">
        <f t="shared" si="15"/>
        <v>Pooja Chavan</v>
      </c>
      <c r="G241" t="s">
        <v>360</v>
      </c>
      <c r="H241" t="s">
        <v>371</v>
      </c>
      <c r="I241">
        <v>2</v>
      </c>
      <c r="J241">
        <v>1830</v>
      </c>
      <c r="K241">
        <v>3660</v>
      </c>
      <c r="L241">
        <f t="shared" si="16"/>
        <v>3660</v>
      </c>
      <c r="M241" t="s">
        <v>381</v>
      </c>
      <c r="N241" t="str">
        <f t="shared" si="17"/>
        <v>Kolhapur</v>
      </c>
      <c r="O241" t="s">
        <v>386</v>
      </c>
      <c r="P241" t="str">
        <f t="shared" si="18"/>
        <v>Net Banking</v>
      </c>
      <c r="Q241" t="s">
        <v>389</v>
      </c>
      <c r="R241">
        <f t="shared" si="19"/>
        <v>3</v>
      </c>
    </row>
    <row r="242" spans="1:18" x14ac:dyDescent="0.3">
      <c r="A242" t="s">
        <v>252</v>
      </c>
      <c r="B242" s="3">
        <v>46025</v>
      </c>
      <c r="C242" t="s">
        <v>316</v>
      </c>
      <c r="D242" t="s">
        <v>413</v>
      </c>
      <c r="E242" t="s">
        <v>334</v>
      </c>
      <c r="F242" t="str">
        <f t="shared" si="15"/>
        <v>Riya Desai</v>
      </c>
      <c r="G242" t="s">
        <v>354</v>
      </c>
      <c r="H242" t="s">
        <v>369</v>
      </c>
      <c r="I242">
        <v>4</v>
      </c>
      <c r="J242">
        <v>1722.87</v>
      </c>
      <c r="K242">
        <v>6891.48</v>
      </c>
      <c r="L242">
        <f t="shared" si="16"/>
        <v>6891.48</v>
      </c>
      <c r="M242" t="s">
        <v>374</v>
      </c>
      <c r="N242" t="str">
        <f t="shared" si="17"/>
        <v>Nashik</v>
      </c>
      <c r="O242" t="s">
        <v>387</v>
      </c>
      <c r="P242" t="str">
        <f t="shared" si="18"/>
        <v>Debit Card</v>
      </c>
      <c r="Q242" t="s">
        <v>389</v>
      </c>
      <c r="R242">
        <f t="shared" si="19"/>
        <v>3</v>
      </c>
    </row>
    <row r="243" spans="1:18" x14ac:dyDescent="0.3">
      <c r="A243" t="s">
        <v>253</v>
      </c>
      <c r="B243" s="3">
        <v>46125</v>
      </c>
      <c r="C243" t="s">
        <v>313</v>
      </c>
      <c r="D243" t="s">
        <v>426</v>
      </c>
      <c r="E243" t="s">
        <v>347</v>
      </c>
      <c r="F243" t="str">
        <f t="shared" si="15"/>
        <v>Omkar More</v>
      </c>
      <c r="G243" t="s">
        <v>364</v>
      </c>
      <c r="H243" t="s">
        <v>373</v>
      </c>
      <c r="I243">
        <v>4</v>
      </c>
      <c r="J243">
        <v>8272.09</v>
      </c>
      <c r="K243">
        <v>33088.36</v>
      </c>
      <c r="L243">
        <f t="shared" si="16"/>
        <v>33088.36</v>
      </c>
      <c r="M243" t="s">
        <v>376</v>
      </c>
      <c r="N243" t="str">
        <f t="shared" si="17"/>
        <v>Nagpur</v>
      </c>
      <c r="O243" t="s">
        <v>387</v>
      </c>
      <c r="P243" t="str">
        <f t="shared" si="18"/>
        <v>Debit Card</v>
      </c>
      <c r="Q243" t="s">
        <v>391</v>
      </c>
      <c r="R243">
        <f t="shared" si="19"/>
        <v>1</v>
      </c>
    </row>
    <row r="244" spans="1:18" x14ac:dyDescent="0.3">
      <c r="A244" t="s">
        <v>254</v>
      </c>
      <c r="B244" s="3">
        <v>46138</v>
      </c>
      <c r="C244" t="s">
        <v>314</v>
      </c>
      <c r="D244" t="s">
        <v>419</v>
      </c>
      <c r="E244" t="s">
        <v>340</v>
      </c>
      <c r="F244" t="str">
        <f t="shared" si="15"/>
        <v>Rahul Jadhav</v>
      </c>
      <c r="G244" t="s">
        <v>357</v>
      </c>
      <c r="H244" t="s">
        <v>371</v>
      </c>
      <c r="I244">
        <v>1</v>
      </c>
      <c r="J244">
        <v>879.54</v>
      </c>
      <c r="K244">
        <v>879.54</v>
      </c>
      <c r="L244">
        <f t="shared" si="16"/>
        <v>879.54</v>
      </c>
      <c r="M244" t="s">
        <v>375</v>
      </c>
      <c r="N244" t="str">
        <f t="shared" si="17"/>
        <v>Pune</v>
      </c>
      <c r="O244" t="s">
        <v>384</v>
      </c>
      <c r="P244" t="str">
        <f t="shared" si="18"/>
        <v>Credit Card</v>
      </c>
      <c r="Q244" t="s">
        <v>390</v>
      </c>
      <c r="R244">
        <f t="shared" si="19"/>
        <v>1</v>
      </c>
    </row>
    <row r="245" spans="1:18" x14ac:dyDescent="0.3">
      <c r="A245" t="s">
        <v>255</v>
      </c>
      <c r="B245" s="3">
        <v>46109</v>
      </c>
      <c r="C245" t="s">
        <v>314</v>
      </c>
      <c r="D245" t="s">
        <v>415</v>
      </c>
      <c r="E245" t="s">
        <v>336</v>
      </c>
      <c r="F245" t="str">
        <f t="shared" si="15"/>
        <v>Isha Gupta</v>
      </c>
      <c r="G245" t="s">
        <v>366</v>
      </c>
      <c r="H245" t="s">
        <v>373</v>
      </c>
      <c r="I245">
        <v>3</v>
      </c>
      <c r="J245">
        <v>12707.75</v>
      </c>
      <c r="K245">
        <v>38123.25</v>
      </c>
      <c r="L245">
        <f t="shared" si="16"/>
        <v>38123.25</v>
      </c>
      <c r="M245" t="s">
        <v>374</v>
      </c>
      <c r="N245" t="str">
        <f t="shared" si="17"/>
        <v>Nashik</v>
      </c>
      <c r="O245" t="s">
        <v>384</v>
      </c>
      <c r="P245" t="str">
        <f t="shared" si="18"/>
        <v>Credit Card</v>
      </c>
      <c r="Q245" t="s">
        <v>391</v>
      </c>
      <c r="R245">
        <f t="shared" si="19"/>
        <v>1</v>
      </c>
    </row>
    <row r="246" spans="1:18" x14ac:dyDescent="0.3">
      <c r="A246" t="s">
        <v>256</v>
      </c>
      <c r="B246" s="3">
        <v>46034</v>
      </c>
      <c r="C246" t="s">
        <v>313</v>
      </c>
      <c r="D246" t="s">
        <v>430</v>
      </c>
      <c r="E246" t="s">
        <v>351</v>
      </c>
      <c r="F246" t="str">
        <f t="shared" si="15"/>
        <v>Vivek Joshi</v>
      </c>
      <c r="G246" t="s">
        <v>356</v>
      </c>
      <c r="H246" t="s">
        <v>370</v>
      </c>
      <c r="I246">
        <v>4</v>
      </c>
      <c r="J246">
        <v>120</v>
      </c>
      <c r="K246">
        <v>480</v>
      </c>
      <c r="L246">
        <f t="shared" si="16"/>
        <v>480</v>
      </c>
      <c r="M246" t="s">
        <v>378</v>
      </c>
      <c r="N246" t="str">
        <f t="shared" si="17"/>
        <v>Thane</v>
      </c>
      <c r="O246" t="s">
        <v>385</v>
      </c>
      <c r="P246" t="str">
        <f t="shared" si="18"/>
        <v>Cash</v>
      </c>
      <c r="Q246" t="s">
        <v>391</v>
      </c>
      <c r="R246">
        <f t="shared" si="19"/>
        <v>2</v>
      </c>
    </row>
    <row r="247" spans="1:18" x14ac:dyDescent="0.3">
      <c r="A247" t="s">
        <v>257</v>
      </c>
      <c r="B247" s="3">
        <v>46154</v>
      </c>
      <c r="C247" t="s">
        <v>320</v>
      </c>
      <c r="D247" t="s">
        <v>414</v>
      </c>
      <c r="E247" t="s">
        <v>335</v>
      </c>
      <c r="F247" t="str">
        <f t="shared" si="15"/>
        <v>Karan Mehta</v>
      </c>
      <c r="G247" t="s">
        <v>368</v>
      </c>
      <c r="H247" t="s">
        <v>373</v>
      </c>
      <c r="I247">
        <v>2</v>
      </c>
      <c r="J247">
        <v>6638.14</v>
      </c>
      <c r="K247">
        <v>13276.28</v>
      </c>
      <c r="L247">
        <f t="shared" si="16"/>
        <v>13276.28</v>
      </c>
      <c r="M247" t="s">
        <v>378</v>
      </c>
      <c r="N247" t="str">
        <f t="shared" si="17"/>
        <v>Thane</v>
      </c>
      <c r="O247" t="s">
        <v>384</v>
      </c>
      <c r="P247" t="str">
        <f t="shared" si="18"/>
        <v>Credit Card</v>
      </c>
      <c r="Q247" t="s">
        <v>390</v>
      </c>
      <c r="R247">
        <f t="shared" si="19"/>
        <v>1</v>
      </c>
    </row>
    <row r="248" spans="1:18" x14ac:dyDescent="0.3">
      <c r="A248" t="s">
        <v>258</v>
      </c>
      <c r="B248" s="3">
        <v>46152</v>
      </c>
      <c r="C248" t="s">
        <v>326</v>
      </c>
      <c r="D248" t="s">
        <v>420</v>
      </c>
      <c r="E248" t="s">
        <v>341</v>
      </c>
      <c r="F248" t="str">
        <f t="shared" si="15"/>
        <v>Kavya Joshi</v>
      </c>
      <c r="G248" t="s">
        <v>363</v>
      </c>
      <c r="H248" t="s">
        <v>370</v>
      </c>
      <c r="I248">
        <v>3</v>
      </c>
      <c r="J248">
        <v>254.69</v>
      </c>
      <c r="K248">
        <v>764.07</v>
      </c>
      <c r="L248">
        <f t="shared" si="16"/>
        <v>764.06999999999994</v>
      </c>
      <c r="M248" t="s">
        <v>381</v>
      </c>
      <c r="N248" t="str">
        <f t="shared" si="17"/>
        <v>Kolhapur</v>
      </c>
      <c r="O248" t="s">
        <v>386</v>
      </c>
      <c r="P248" t="str">
        <f t="shared" si="18"/>
        <v>Net Banking</v>
      </c>
      <c r="Q248" t="s">
        <v>390</v>
      </c>
      <c r="R248">
        <f t="shared" si="19"/>
        <v>1</v>
      </c>
    </row>
    <row r="249" spans="1:18" x14ac:dyDescent="0.3">
      <c r="A249" t="s">
        <v>259</v>
      </c>
      <c r="B249" s="3">
        <v>46195</v>
      </c>
      <c r="C249" t="s">
        <v>316</v>
      </c>
      <c r="D249" t="s">
        <v>413</v>
      </c>
      <c r="E249" t="s">
        <v>334</v>
      </c>
      <c r="F249" t="str">
        <f t="shared" si="15"/>
        <v>Riya Desai</v>
      </c>
      <c r="G249" t="s">
        <v>368</v>
      </c>
      <c r="H249" t="s">
        <v>373</v>
      </c>
      <c r="I249">
        <v>1</v>
      </c>
      <c r="J249">
        <v>6328.87</v>
      </c>
      <c r="K249">
        <v>6328.87</v>
      </c>
      <c r="L249">
        <f t="shared" si="16"/>
        <v>6328.87</v>
      </c>
      <c r="M249" t="s">
        <v>377</v>
      </c>
      <c r="N249" t="str">
        <f t="shared" si="17"/>
        <v>Aurangabad</v>
      </c>
      <c r="O249" t="s">
        <v>383</v>
      </c>
      <c r="P249" t="str">
        <f t="shared" si="18"/>
        <v>UPI</v>
      </c>
      <c r="Q249" t="s">
        <v>391</v>
      </c>
      <c r="R249">
        <f t="shared" si="19"/>
        <v>3</v>
      </c>
    </row>
    <row r="250" spans="1:18" x14ac:dyDescent="0.3">
      <c r="A250" t="s">
        <v>260</v>
      </c>
      <c r="B250" s="3">
        <v>46223</v>
      </c>
      <c r="C250" t="s">
        <v>317</v>
      </c>
      <c r="D250" t="s">
        <v>426</v>
      </c>
      <c r="E250" t="s">
        <v>347</v>
      </c>
      <c r="F250" t="str">
        <f t="shared" si="15"/>
        <v>Omkar More</v>
      </c>
      <c r="G250" t="s">
        <v>368</v>
      </c>
      <c r="H250" t="s">
        <v>373</v>
      </c>
      <c r="I250">
        <v>3</v>
      </c>
      <c r="J250">
        <v>7107.19</v>
      </c>
      <c r="K250">
        <v>21321.57</v>
      </c>
      <c r="L250">
        <f t="shared" si="16"/>
        <v>21321.57</v>
      </c>
      <c r="M250" t="s">
        <v>376</v>
      </c>
      <c r="N250" t="str">
        <f t="shared" si="17"/>
        <v>Nagpur</v>
      </c>
      <c r="O250" t="s">
        <v>383</v>
      </c>
      <c r="P250" t="str">
        <f t="shared" si="18"/>
        <v>UPI</v>
      </c>
      <c r="Q250" t="s">
        <v>391</v>
      </c>
      <c r="R250">
        <f t="shared" si="19"/>
        <v>4</v>
      </c>
    </row>
    <row r="251" spans="1:18" x14ac:dyDescent="0.3">
      <c r="A251" t="s">
        <v>261</v>
      </c>
      <c r="B251" s="3">
        <v>46207</v>
      </c>
      <c r="C251" t="s">
        <v>323</v>
      </c>
      <c r="D251" t="s">
        <v>416</v>
      </c>
      <c r="E251" t="s">
        <v>337</v>
      </c>
      <c r="F251" t="str">
        <f t="shared" si="15"/>
        <v>Siddharth Patil</v>
      </c>
      <c r="G251" t="s">
        <v>368</v>
      </c>
      <c r="H251" t="s">
        <v>373</v>
      </c>
      <c r="I251">
        <v>2</v>
      </c>
      <c r="J251">
        <v>6531.5</v>
      </c>
      <c r="K251">
        <v>13063</v>
      </c>
      <c r="L251">
        <f t="shared" si="16"/>
        <v>13063</v>
      </c>
      <c r="M251" t="s">
        <v>374</v>
      </c>
      <c r="N251" t="str">
        <f t="shared" si="17"/>
        <v>Nashik</v>
      </c>
      <c r="O251" t="s">
        <v>384</v>
      </c>
      <c r="P251" t="str">
        <f t="shared" si="18"/>
        <v>Credit Card</v>
      </c>
      <c r="Q251" t="s">
        <v>390</v>
      </c>
      <c r="R251">
        <f t="shared" si="19"/>
        <v>1</v>
      </c>
    </row>
    <row r="252" spans="1:18" x14ac:dyDescent="0.3">
      <c r="A252" t="s">
        <v>262</v>
      </c>
      <c r="B252" s="3">
        <v>46135</v>
      </c>
      <c r="C252" t="s">
        <v>324</v>
      </c>
      <c r="D252" t="s">
        <v>413</v>
      </c>
      <c r="E252" t="s">
        <v>334</v>
      </c>
      <c r="F252" t="str">
        <f t="shared" si="15"/>
        <v>Riya Desai</v>
      </c>
      <c r="G252" t="s">
        <v>363</v>
      </c>
      <c r="H252" t="s">
        <v>370</v>
      </c>
      <c r="I252">
        <v>1</v>
      </c>
      <c r="J252">
        <v>234.54</v>
      </c>
      <c r="K252">
        <v>234.54</v>
      </c>
      <c r="L252">
        <f t="shared" si="16"/>
        <v>234.54</v>
      </c>
      <c r="M252" t="s">
        <v>374</v>
      </c>
      <c r="N252" t="str">
        <f t="shared" si="17"/>
        <v>Nashik</v>
      </c>
      <c r="O252" t="s">
        <v>385</v>
      </c>
      <c r="P252" t="str">
        <f t="shared" si="18"/>
        <v>Cash</v>
      </c>
      <c r="Q252" t="s">
        <v>389</v>
      </c>
      <c r="R252">
        <f t="shared" si="19"/>
        <v>1</v>
      </c>
    </row>
    <row r="253" spans="1:18" x14ac:dyDescent="0.3">
      <c r="A253" t="s">
        <v>263</v>
      </c>
      <c r="B253" s="3">
        <v>46179</v>
      </c>
      <c r="C253" t="s">
        <v>325</v>
      </c>
      <c r="D253" t="s">
        <v>427</v>
      </c>
      <c r="E253" t="s">
        <v>348</v>
      </c>
      <c r="F253" t="str">
        <f t="shared" si="15"/>
        <v>Ananya Patil</v>
      </c>
      <c r="G253" t="s">
        <v>360</v>
      </c>
      <c r="H253" t="s">
        <v>371</v>
      </c>
      <c r="I253">
        <v>4</v>
      </c>
      <c r="J253">
        <v>1800.66</v>
      </c>
      <c r="K253">
        <v>7202.64</v>
      </c>
      <c r="L253">
        <f t="shared" si="16"/>
        <v>7202.64</v>
      </c>
      <c r="M253" t="s">
        <v>374</v>
      </c>
      <c r="N253" t="str">
        <f t="shared" si="17"/>
        <v>Nashik</v>
      </c>
      <c r="O253" t="s">
        <v>386</v>
      </c>
      <c r="P253" t="str">
        <f t="shared" si="18"/>
        <v>Net Banking</v>
      </c>
      <c r="Q253" t="s">
        <v>390</v>
      </c>
      <c r="R253">
        <f t="shared" si="19"/>
        <v>1</v>
      </c>
    </row>
    <row r="254" spans="1:18" x14ac:dyDescent="0.3">
      <c r="A254" t="s">
        <v>264</v>
      </c>
      <c r="B254" s="3">
        <v>46145</v>
      </c>
      <c r="C254" t="s">
        <v>326</v>
      </c>
      <c r="D254" t="s">
        <v>416</v>
      </c>
      <c r="E254" t="s">
        <v>337</v>
      </c>
      <c r="F254" t="str">
        <f t="shared" si="15"/>
        <v>Siddharth Patil</v>
      </c>
      <c r="G254" t="s">
        <v>356</v>
      </c>
      <c r="H254" t="s">
        <v>370</v>
      </c>
      <c r="I254">
        <v>3</v>
      </c>
      <c r="J254">
        <v>131.94999999999999</v>
      </c>
      <c r="K254">
        <v>395.85</v>
      </c>
      <c r="L254">
        <f t="shared" si="16"/>
        <v>395.84999999999997</v>
      </c>
      <c r="M254" t="s">
        <v>378</v>
      </c>
      <c r="N254" t="str">
        <f t="shared" si="17"/>
        <v>Thane</v>
      </c>
      <c r="O254" t="s">
        <v>384</v>
      </c>
      <c r="P254" t="str">
        <f t="shared" si="18"/>
        <v>Credit Card</v>
      </c>
      <c r="Q254" t="s">
        <v>390</v>
      </c>
      <c r="R254">
        <f t="shared" si="19"/>
        <v>1</v>
      </c>
    </row>
    <row r="255" spans="1:18" x14ac:dyDescent="0.3">
      <c r="A255" t="s">
        <v>265</v>
      </c>
      <c r="B255" s="3">
        <v>46113</v>
      </c>
      <c r="C255" t="s">
        <v>322</v>
      </c>
      <c r="D255" t="s">
        <v>422</v>
      </c>
      <c r="E255" t="s">
        <v>343</v>
      </c>
      <c r="F255" t="str">
        <f t="shared" si="15"/>
        <v>Tanvi Shah</v>
      </c>
      <c r="G255" t="s">
        <v>362</v>
      </c>
      <c r="H255" t="s">
        <v>372</v>
      </c>
      <c r="I255">
        <v>5</v>
      </c>
      <c r="J255">
        <v>2130.62</v>
      </c>
      <c r="K255">
        <v>10653.1</v>
      </c>
      <c r="L255">
        <f t="shared" si="16"/>
        <v>10653.099999999999</v>
      </c>
      <c r="M255" t="s">
        <v>381</v>
      </c>
      <c r="N255" t="str">
        <f t="shared" si="17"/>
        <v>Kolhapur</v>
      </c>
      <c r="O255" t="s">
        <v>384</v>
      </c>
      <c r="P255" t="str">
        <f t="shared" si="18"/>
        <v>Credit Card</v>
      </c>
      <c r="Q255" t="s">
        <v>390</v>
      </c>
      <c r="R255">
        <f t="shared" si="19"/>
        <v>2</v>
      </c>
    </row>
    <row r="256" spans="1:18" x14ac:dyDescent="0.3">
      <c r="A256" t="s">
        <v>266</v>
      </c>
      <c r="B256" s="3">
        <v>46264</v>
      </c>
      <c r="C256" t="s">
        <v>330</v>
      </c>
      <c r="D256" t="s">
        <v>428</v>
      </c>
      <c r="E256" t="s">
        <v>349</v>
      </c>
      <c r="F256" t="str">
        <f t="shared" si="15"/>
        <v>Pooja Chavan</v>
      </c>
      <c r="G256" t="s">
        <v>357</v>
      </c>
      <c r="H256" t="s">
        <v>371</v>
      </c>
      <c r="I256">
        <v>5</v>
      </c>
      <c r="J256">
        <v>863.73</v>
      </c>
      <c r="K256">
        <v>4318.6499999999996</v>
      </c>
      <c r="L256">
        <f t="shared" si="16"/>
        <v>4318.6499999999996</v>
      </c>
      <c r="M256" t="s">
        <v>376</v>
      </c>
      <c r="N256" t="str">
        <f t="shared" si="17"/>
        <v>Nagpur</v>
      </c>
      <c r="O256" t="s">
        <v>385</v>
      </c>
      <c r="P256" t="str">
        <f t="shared" si="18"/>
        <v>Cash</v>
      </c>
      <c r="Q256" t="s">
        <v>390</v>
      </c>
      <c r="R256">
        <f t="shared" si="19"/>
        <v>3</v>
      </c>
    </row>
    <row r="257" spans="1:18" x14ac:dyDescent="0.3">
      <c r="A257" t="s">
        <v>267</v>
      </c>
      <c r="B257" s="3">
        <v>46262</v>
      </c>
      <c r="C257" t="s">
        <v>322</v>
      </c>
      <c r="D257" t="s">
        <v>428</v>
      </c>
      <c r="E257" t="s">
        <v>349</v>
      </c>
      <c r="F257" t="str">
        <f t="shared" si="15"/>
        <v>Pooja Chavan</v>
      </c>
      <c r="G257" t="s">
        <v>368</v>
      </c>
      <c r="H257" t="s">
        <v>373</v>
      </c>
      <c r="I257">
        <v>3</v>
      </c>
      <c r="J257">
        <v>6578.63</v>
      </c>
      <c r="K257">
        <v>19735.89</v>
      </c>
      <c r="L257">
        <f t="shared" si="16"/>
        <v>19735.89</v>
      </c>
      <c r="M257" t="s">
        <v>375</v>
      </c>
      <c r="N257" t="str">
        <f t="shared" si="17"/>
        <v>Pune</v>
      </c>
      <c r="O257" t="s">
        <v>386</v>
      </c>
      <c r="P257" t="str">
        <f t="shared" si="18"/>
        <v>Net Banking</v>
      </c>
      <c r="Q257" t="s">
        <v>389</v>
      </c>
      <c r="R257">
        <f t="shared" si="19"/>
        <v>2</v>
      </c>
    </row>
    <row r="258" spans="1:18" x14ac:dyDescent="0.3">
      <c r="A258" t="s">
        <v>268</v>
      </c>
      <c r="B258" s="3">
        <v>46124</v>
      </c>
      <c r="C258" t="s">
        <v>327</v>
      </c>
      <c r="D258" t="s">
        <v>430</v>
      </c>
      <c r="E258" t="s">
        <v>351</v>
      </c>
      <c r="F258" t="str">
        <f t="shared" si="15"/>
        <v>Vivek Joshi</v>
      </c>
      <c r="G258" t="s">
        <v>356</v>
      </c>
      <c r="H258" t="s">
        <v>370</v>
      </c>
      <c r="I258">
        <v>4</v>
      </c>
      <c r="J258">
        <v>129.5</v>
      </c>
      <c r="K258">
        <v>518</v>
      </c>
      <c r="L258">
        <f t="shared" si="16"/>
        <v>518</v>
      </c>
      <c r="M258" t="s">
        <v>377</v>
      </c>
      <c r="N258" t="str">
        <f t="shared" si="17"/>
        <v>Aurangabad</v>
      </c>
      <c r="O258" t="s">
        <v>383</v>
      </c>
      <c r="P258" t="str">
        <f t="shared" si="18"/>
        <v>UPI</v>
      </c>
      <c r="Q258" t="s">
        <v>390</v>
      </c>
      <c r="R258">
        <f t="shared" si="19"/>
        <v>2</v>
      </c>
    </row>
    <row r="259" spans="1:18" x14ac:dyDescent="0.3">
      <c r="A259" t="s">
        <v>269</v>
      </c>
      <c r="B259" s="3">
        <v>46136</v>
      </c>
      <c r="C259" t="s">
        <v>322</v>
      </c>
      <c r="D259" t="s">
        <v>424</v>
      </c>
      <c r="E259" t="s">
        <v>345</v>
      </c>
      <c r="F259" t="str">
        <f t="shared" ref="F259:F301" si="20">TRIM(E259)</f>
        <v>Mansi Kulkarni</v>
      </c>
      <c r="G259" t="s">
        <v>355</v>
      </c>
      <c r="H259" t="s">
        <v>369</v>
      </c>
      <c r="I259">
        <v>1</v>
      </c>
      <c r="J259">
        <v>678.49</v>
      </c>
      <c r="K259">
        <v>678.49</v>
      </c>
      <c r="L259">
        <f t="shared" ref="L259:L301" si="21">I259*J259</f>
        <v>678.49</v>
      </c>
      <c r="M259" t="s">
        <v>376</v>
      </c>
      <c r="N259" t="str">
        <f t="shared" ref="N259:N301" si="22">PROPER(M259)</f>
        <v>Nagpur</v>
      </c>
      <c r="O259" t="s">
        <v>384</v>
      </c>
      <c r="P259" t="str">
        <f t="shared" ref="P259:P301" si="23">TRIM(O259)</f>
        <v>Credit Card</v>
      </c>
      <c r="Q259" t="s">
        <v>391</v>
      </c>
      <c r="R259">
        <f t="shared" ref="R259:R301" si="24">COUNTIFS($C:$C,C259,$E:$E,E259)</f>
        <v>1</v>
      </c>
    </row>
    <row r="260" spans="1:18" x14ac:dyDescent="0.3">
      <c r="A260" t="s">
        <v>270</v>
      </c>
      <c r="B260" s="3">
        <v>46058</v>
      </c>
      <c r="C260" t="s">
        <v>316</v>
      </c>
      <c r="D260" t="s">
        <v>422</v>
      </c>
      <c r="E260" t="s">
        <v>343</v>
      </c>
      <c r="F260" t="str">
        <f t="shared" si="20"/>
        <v>Tanvi Shah</v>
      </c>
      <c r="G260" t="s">
        <v>357</v>
      </c>
      <c r="H260" t="s">
        <v>371</v>
      </c>
      <c r="I260">
        <v>5</v>
      </c>
      <c r="J260">
        <v>935.31</v>
      </c>
      <c r="K260">
        <v>4676.55</v>
      </c>
      <c r="L260">
        <f t="shared" si="21"/>
        <v>4676.5499999999993</v>
      </c>
      <c r="M260" t="s">
        <v>376</v>
      </c>
      <c r="N260" t="str">
        <f t="shared" si="22"/>
        <v>Nagpur</v>
      </c>
      <c r="O260" t="s">
        <v>384</v>
      </c>
      <c r="P260" t="str">
        <f t="shared" si="23"/>
        <v>Credit Card</v>
      </c>
      <c r="Q260" t="s">
        <v>390</v>
      </c>
      <c r="R260">
        <f t="shared" si="24"/>
        <v>1</v>
      </c>
    </row>
    <row r="261" spans="1:18" x14ac:dyDescent="0.3">
      <c r="A261" t="s">
        <v>271</v>
      </c>
      <c r="B261" s="3">
        <v>46082</v>
      </c>
      <c r="C261" t="s">
        <v>313</v>
      </c>
      <c r="D261" t="s">
        <v>423</v>
      </c>
      <c r="E261" t="s">
        <v>344</v>
      </c>
      <c r="F261" t="str">
        <f t="shared" si="20"/>
        <v>Sneha Kulkarni</v>
      </c>
      <c r="G261" t="s">
        <v>354</v>
      </c>
      <c r="H261" t="s">
        <v>369</v>
      </c>
      <c r="I261">
        <v>5</v>
      </c>
      <c r="J261">
        <v>1701.24</v>
      </c>
      <c r="K261">
        <v>8506.2000000000007</v>
      </c>
      <c r="L261">
        <f t="shared" si="21"/>
        <v>8506.2000000000007</v>
      </c>
      <c r="M261" t="s">
        <v>379</v>
      </c>
      <c r="N261" t="str">
        <f t="shared" si="22"/>
        <v>Navi Mumbai</v>
      </c>
      <c r="O261" t="s">
        <v>387</v>
      </c>
      <c r="P261" t="str">
        <f t="shared" si="23"/>
        <v>Debit Card</v>
      </c>
      <c r="Q261" t="s">
        <v>389</v>
      </c>
      <c r="R261">
        <f t="shared" si="24"/>
        <v>2</v>
      </c>
    </row>
    <row r="262" spans="1:18" x14ac:dyDescent="0.3">
      <c r="A262" t="s">
        <v>272</v>
      </c>
      <c r="B262" s="3">
        <v>46058</v>
      </c>
      <c r="C262" t="s">
        <v>321</v>
      </c>
      <c r="D262" t="s">
        <v>420</v>
      </c>
      <c r="E262" t="s">
        <v>341</v>
      </c>
      <c r="F262" t="str">
        <f t="shared" si="20"/>
        <v>Kavya Joshi</v>
      </c>
      <c r="G262" t="s">
        <v>368</v>
      </c>
      <c r="H262" t="s">
        <v>373</v>
      </c>
      <c r="I262">
        <v>1</v>
      </c>
      <c r="J262">
        <v>6735.55</v>
      </c>
      <c r="K262">
        <v>6735.55</v>
      </c>
      <c r="L262">
        <f t="shared" si="21"/>
        <v>6735.55</v>
      </c>
      <c r="M262" t="s">
        <v>374</v>
      </c>
      <c r="N262" t="str">
        <f t="shared" si="22"/>
        <v>Nashik</v>
      </c>
      <c r="O262" t="s">
        <v>385</v>
      </c>
      <c r="P262" t="str">
        <f t="shared" si="23"/>
        <v>Cash</v>
      </c>
      <c r="Q262" t="s">
        <v>389</v>
      </c>
      <c r="R262">
        <f t="shared" si="24"/>
        <v>2</v>
      </c>
    </row>
    <row r="263" spans="1:18" x14ac:dyDescent="0.3">
      <c r="A263" t="s">
        <v>273</v>
      </c>
      <c r="B263" s="3">
        <v>46074</v>
      </c>
      <c r="C263" t="s">
        <v>330</v>
      </c>
      <c r="D263" t="s">
        <v>414</v>
      </c>
      <c r="E263" t="s">
        <v>335</v>
      </c>
      <c r="F263" t="str">
        <f t="shared" si="20"/>
        <v>Karan Mehta</v>
      </c>
      <c r="G263" t="s">
        <v>362</v>
      </c>
      <c r="H263" t="s">
        <v>372</v>
      </c>
      <c r="I263">
        <v>4</v>
      </c>
      <c r="J263">
        <v>2190.08</v>
      </c>
      <c r="K263">
        <v>8760.32</v>
      </c>
      <c r="L263">
        <f t="shared" si="21"/>
        <v>8760.32</v>
      </c>
      <c r="M263" t="s">
        <v>377</v>
      </c>
      <c r="N263" t="str">
        <f t="shared" si="22"/>
        <v>Aurangabad</v>
      </c>
      <c r="O263" t="s">
        <v>383</v>
      </c>
      <c r="P263" t="str">
        <f t="shared" si="23"/>
        <v>UPI</v>
      </c>
      <c r="Q263" t="s">
        <v>390</v>
      </c>
      <c r="R263">
        <f t="shared" si="24"/>
        <v>1</v>
      </c>
    </row>
    <row r="264" spans="1:18" x14ac:dyDescent="0.3">
      <c r="A264" t="s">
        <v>274</v>
      </c>
      <c r="B264" s="3">
        <v>46212</v>
      </c>
      <c r="C264" t="s">
        <v>313</v>
      </c>
      <c r="D264" t="s">
        <v>429</v>
      </c>
      <c r="E264" t="s">
        <v>350</v>
      </c>
      <c r="F264" t="str">
        <f t="shared" si="20"/>
        <v>Priya Shah</v>
      </c>
      <c r="G264" t="s">
        <v>354</v>
      </c>
      <c r="H264" t="s">
        <v>369</v>
      </c>
      <c r="I264">
        <v>5</v>
      </c>
      <c r="J264">
        <v>1703.6</v>
      </c>
      <c r="K264">
        <v>8518</v>
      </c>
      <c r="L264">
        <f t="shared" si="21"/>
        <v>8518</v>
      </c>
      <c r="M264" t="s">
        <v>379</v>
      </c>
      <c r="N264" t="str">
        <f t="shared" si="22"/>
        <v>Navi Mumbai</v>
      </c>
      <c r="O264" t="s">
        <v>384</v>
      </c>
      <c r="P264" t="str">
        <f t="shared" si="23"/>
        <v>Credit Card</v>
      </c>
      <c r="Q264" t="s">
        <v>390</v>
      </c>
      <c r="R264">
        <f t="shared" si="24"/>
        <v>2</v>
      </c>
    </row>
    <row r="265" spans="1:18" x14ac:dyDescent="0.3">
      <c r="A265" t="s">
        <v>275</v>
      </c>
      <c r="B265" s="3">
        <v>46070</v>
      </c>
      <c r="C265" t="s">
        <v>330</v>
      </c>
      <c r="D265" t="s">
        <v>427</v>
      </c>
      <c r="E265" t="s">
        <v>348</v>
      </c>
      <c r="F265" t="str">
        <f t="shared" si="20"/>
        <v>Ananya Patil</v>
      </c>
      <c r="G265" t="s">
        <v>359</v>
      </c>
      <c r="H265" t="s">
        <v>372</v>
      </c>
      <c r="I265">
        <v>4</v>
      </c>
      <c r="J265">
        <v>951.83</v>
      </c>
      <c r="K265">
        <v>3807.32</v>
      </c>
      <c r="L265">
        <f t="shared" si="21"/>
        <v>3807.32</v>
      </c>
      <c r="M265" t="s">
        <v>380</v>
      </c>
      <c r="N265" t="str">
        <f t="shared" si="22"/>
        <v>Mumbai</v>
      </c>
      <c r="O265" t="s">
        <v>387</v>
      </c>
      <c r="P265" t="str">
        <f t="shared" si="23"/>
        <v>Debit Card</v>
      </c>
      <c r="Q265" t="s">
        <v>391</v>
      </c>
      <c r="R265">
        <f t="shared" si="24"/>
        <v>2</v>
      </c>
    </row>
    <row r="266" spans="1:18" x14ac:dyDescent="0.3">
      <c r="A266" t="s">
        <v>276</v>
      </c>
      <c r="B266" s="3">
        <v>46108</v>
      </c>
      <c r="C266" t="s">
        <v>330</v>
      </c>
      <c r="D266" t="s">
        <v>431</v>
      </c>
      <c r="E266" t="s">
        <v>352</v>
      </c>
      <c r="F266" t="str">
        <f t="shared" si="20"/>
        <v>Akash Shinde</v>
      </c>
      <c r="G266" t="s">
        <v>363</v>
      </c>
      <c r="H266" t="s">
        <v>370</v>
      </c>
      <c r="I266">
        <v>1</v>
      </c>
      <c r="J266">
        <v>271.42</v>
      </c>
      <c r="K266">
        <v>271.42</v>
      </c>
      <c r="L266">
        <f t="shared" si="21"/>
        <v>271.42</v>
      </c>
      <c r="M266" t="s">
        <v>381</v>
      </c>
      <c r="N266" t="str">
        <f t="shared" si="22"/>
        <v>Kolhapur</v>
      </c>
      <c r="O266" t="s">
        <v>384</v>
      </c>
      <c r="P266" t="str">
        <f t="shared" si="23"/>
        <v>Credit Card</v>
      </c>
      <c r="Q266" t="s">
        <v>391</v>
      </c>
      <c r="R266">
        <f t="shared" si="24"/>
        <v>1</v>
      </c>
    </row>
    <row r="267" spans="1:18" x14ac:dyDescent="0.3">
      <c r="A267" t="s">
        <v>277</v>
      </c>
      <c r="B267" s="3">
        <v>46051</v>
      </c>
      <c r="C267" t="s">
        <v>324</v>
      </c>
      <c r="D267" t="s">
        <v>429</v>
      </c>
      <c r="E267" t="s">
        <v>350</v>
      </c>
      <c r="F267" t="str">
        <f t="shared" si="20"/>
        <v>Priya Shah</v>
      </c>
      <c r="G267" t="s">
        <v>368</v>
      </c>
      <c r="H267" t="s">
        <v>373</v>
      </c>
      <c r="I267">
        <v>3</v>
      </c>
      <c r="J267">
        <v>6100.65</v>
      </c>
      <c r="K267">
        <v>18301.95</v>
      </c>
      <c r="L267">
        <f t="shared" si="21"/>
        <v>18301.949999999997</v>
      </c>
      <c r="M267" t="s">
        <v>381</v>
      </c>
      <c r="N267" t="str">
        <f t="shared" si="22"/>
        <v>Kolhapur</v>
      </c>
      <c r="O267" t="s">
        <v>387</v>
      </c>
      <c r="P267" t="str">
        <f t="shared" si="23"/>
        <v>Debit Card</v>
      </c>
      <c r="Q267" t="s">
        <v>389</v>
      </c>
      <c r="R267">
        <f t="shared" si="24"/>
        <v>2</v>
      </c>
    </row>
    <row r="268" spans="1:18" x14ac:dyDescent="0.3">
      <c r="A268" t="s">
        <v>278</v>
      </c>
      <c r="B268" s="3">
        <v>46225</v>
      </c>
      <c r="C268" t="s">
        <v>330</v>
      </c>
      <c r="D268" t="s">
        <v>426</v>
      </c>
      <c r="E268" t="s">
        <v>347</v>
      </c>
      <c r="F268" t="str">
        <f t="shared" si="20"/>
        <v>Omkar More</v>
      </c>
      <c r="G268" t="s">
        <v>361</v>
      </c>
      <c r="H268" t="s">
        <v>371</v>
      </c>
      <c r="I268">
        <v>1</v>
      </c>
      <c r="J268">
        <v>2618.31</v>
      </c>
      <c r="K268">
        <v>2618.31</v>
      </c>
      <c r="L268">
        <f t="shared" si="21"/>
        <v>2618.31</v>
      </c>
      <c r="M268" t="s">
        <v>376</v>
      </c>
      <c r="N268" t="str">
        <f t="shared" si="22"/>
        <v>Nagpur</v>
      </c>
      <c r="O268" t="s">
        <v>384</v>
      </c>
      <c r="P268" t="str">
        <f t="shared" si="23"/>
        <v>Credit Card</v>
      </c>
      <c r="Q268" t="s">
        <v>391</v>
      </c>
      <c r="R268">
        <f t="shared" si="24"/>
        <v>1</v>
      </c>
    </row>
    <row r="269" spans="1:18" x14ac:dyDescent="0.3">
      <c r="A269" t="s">
        <v>279</v>
      </c>
      <c r="B269" s="3">
        <v>46154</v>
      </c>
      <c r="C269" t="s">
        <v>324</v>
      </c>
      <c r="D269" t="s">
        <v>425</v>
      </c>
      <c r="E269" t="s">
        <v>346</v>
      </c>
      <c r="F269" t="str">
        <f t="shared" si="20"/>
        <v>Rohan Deshmukh</v>
      </c>
      <c r="G269" t="s">
        <v>359</v>
      </c>
      <c r="H269" t="s">
        <v>372</v>
      </c>
      <c r="I269">
        <v>4</v>
      </c>
      <c r="J269">
        <v>958.86</v>
      </c>
      <c r="K269">
        <v>3835.44</v>
      </c>
      <c r="L269">
        <f t="shared" si="21"/>
        <v>3835.44</v>
      </c>
      <c r="M269" t="s">
        <v>379</v>
      </c>
      <c r="N269" t="str">
        <f t="shared" si="22"/>
        <v>Navi Mumbai</v>
      </c>
      <c r="O269" t="s">
        <v>383</v>
      </c>
      <c r="P269" t="str">
        <f t="shared" si="23"/>
        <v>UPI</v>
      </c>
      <c r="Q269" t="s">
        <v>390</v>
      </c>
      <c r="R269">
        <f t="shared" si="24"/>
        <v>2</v>
      </c>
    </row>
    <row r="270" spans="1:18" x14ac:dyDescent="0.3">
      <c r="A270" t="s">
        <v>280</v>
      </c>
      <c r="B270" s="3">
        <v>46086</v>
      </c>
      <c r="C270" t="s">
        <v>321</v>
      </c>
      <c r="D270" t="s">
        <v>419</v>
      </c>
      <c r="E270" t="s">
        <v>340</v>
      </c>
      <c r="F270" t="str">
        <f t="shared" si="20"/>
        <v>Rahul Jadhav</v>
      </c>
      <c r="G270" t="s">
        <v>361</v>
      </c>
      <c r="H270" t="s">
        <v>371</v>
      </c>
      <c r="I270">
        <v>4</v>
      </c>
      <c r="J270">
        <v>2411.8000000000002</v>
      </c>
      <c r="K270">
        <v>9647.2000000000007</v>
      </c>
      <c r="L270">
        <f t="shared" si="21"/>
        <v>9647.2000000000007</v>
      </c>
      <c r="M270" t="s">
        <v>379</v>
      </c>
      <c r="N270" t="str">
        <f t="shared" si="22"/>
        <v>Navi Mumbai</v>
      </c>
      <c r="O270" t="s">
        <v>384</v>
      </c>
      <c r="P270" t="str">
        <f t="shared" si="23"/>
        <v>Credit Card</v>
      </c>
      <c r="Q270" t="s">
        <v>390</v>
      </c>
      <c r="R270">
        <f t="shared" si="24"/>
        <v>2</v>
      </c>
    </row>
    <row r="271" spans="1:18" x14ac:dyDescent="0.3">
      <c r="A271" t="s">
        <v>281</v>
      </c>
      <c r="B271" s="3">
        <v>46100</v>
      </c>
      <c r="C271" t="s">
        <v>317</v>
      </c>
      <c r="D271" t="s">
        <v>426</v>
      </c>
      <c r="E271" t="s">
        <v>347</v>
      </c>
      <c r="F271" t="str">
        <f t="shared" si="20"/>
        <v>Omkar More</v>
      </c>
      <c r="G271" t="s">
        <v>358</v>
      </c>
      <c r="H271" t="s">
        <v>372</v>
      </c>
      <c r="I271">
        <v>3</v>
      </c>
      <c r="J271">
        <v>3490.58</v>
      </c>
      <c r="K271">
        <v>10471.74</v>
      </c>
      <c r="L271">
        <f t="shared" si="21"/>
        <v>10471.74</v>
      </c>
      <c r="M271" t="s">
        <v>380</v>
      </c>
      <c r="N271" t="str">
        <f t="shared" si="22"/>
        <v>Mumbai</v>
      </c>
      <c r="O271" t="s">
        <v>387</v>
      </c>
      <c r="P271" t="str">
        <f t="shared" si="23"/>
        <v>Debit Card</v>
      </c>
      <c r="Q271" t="s">
        <v>389</v>
      </c>
      <c r="R271">
        <f t="shared" si="24"/>
        <v>4</v>
      </c>
    </row>
    <row r="272" spans="1:18" x14ac:dyDescent="0.3">
      <c r="A272" t="s">
        <v>282</v>
      </c>
      <c r="B272" s="3">
        <v>46053</v>
      </c>
      <c r="C272" t="s">
        <v>319</v>
      </c>
      <c r="D272" t="s">
        <v>428</v>
      </c>
      <c r="E272" t="s">
        <v>349</v>
      </c>
      <c r="F272" t="str">
        <f t="shared" si="20"/>
        <v>Pooja Chavan</v>
      </c>
      <c r="G272" t="s">
        <v>364</v>
      </c>
      <c r="H272" t="s">
        <v>373</v>
      </c>
      <c r="I272">
        <v>2</v>
      </c>
      <c r="J272">
        <v>7755.61</v>
      </c>
      <c r="K272">
        <v>15511.22</v>
      </c>
      <c r="L272">
        <f t="shared" si="21"/>
        <v>15511.22</v>
      </c>
      <c r="M272" t="s">
        <v>374</v>
      </c>
      <c r="N272" t="str">
        <f t="shared" si="22"/>
        <v>Nashik</v>
      </c>
      <c r="O272" t="s">
        <v>385</v>
      </c>
      <c r="P272" t="str">
        <f t="shared" si="23"/>
        <v>Cash</v>
      </c>
      <c r="Q272" t="s">
        <v>389</v>
      </c>
      <c r="R272">
        <f t="shared" si="24"/>
        <v>2</v>
      </c>
    </row>
    <row r="273" spans="1:18" x14ac:dyDescent="0.3">
      <c r="A273" t="s">
        <v>283</v>
      </c>
      <c r="B273" s="3">
        <v>46186</v>
      </c>
      <c r="C273" t="s">
        <v>330</v>
      </c>
      <c r="D273" t="s">
        <v>415</v>
      </c>
      <c r="E273" t="s">
        <v>336</v>
      </c>
      <c r="F273" t="str">
        <f t="shared" si="20"/>
        <v>Isha Gupta</v>
      </c>
      <c r="G273" t="s">
        <v>356</v>
      </c>
      <c r="H273" t="s">
        <v>370</v>
      </c>
      <c r="I273">
        <v>3</v>
      </c>
      <c r="J273">
        <v>124.57</v>
      </c>
      <c r="K273">
        <v>373.71</v>
      </c>
      <c r="L273">
        <f t="shared" si="21"/>
        <v>373.71</v>
      </c>
      <c r="M273" t="s">
        <v>376</v>
      </c>
      <c r="N273" t="str">
        <f t="shared" si="22"/>
        <v>Nagpur</v>
      </c>
      <c r="O273" t="s">
        <v>384</v>
      </c>
      <c r="P273" t="str">
        <f t="shared" si="23"/>
        <v>Credit Card</v>
      </c>
      <c r="Q273" t="s">
        <v>390</v>
      </c>
      <c r="R273">
        <f t="shared" si="24"/>
        <v>1</v>
      </c>
    </row>
    <row r="274" spans="1:18" x14ac:dyDescent="0.3">
      <c r="A274" t="s">
        <v>284</v>
      </c>
      <c r="B274" s="3">
        <v>46178</v>
      </c>
      <c r="C274" t="s">
        <v>327</v>
      </c>
      <c r="D274" t="s">
        <v>413</v>
      </c>
      <c r="E274" t="s">
        <v>334</v>
      </c>
      <c r="F274" t="str">
        <f t="shared" si="20"/>
        <v>Riya Desai</v>
      </c>
      <c r="G274" t="s">
        <v>368</v>
      </c>
      <c r="H274" t="s">
        <v>373</v>
      </c>
      <c r="I274">
        <v>2</v>
      </c>
      <c r="J274">
        <v>6441.47</v>
      </c>
      <c r="K274">
        <v>12882.94</v>
      </c>
      <c r="L274">
        <f t="shared" si="21"/>
        <v>12882.94</v>
      </c>
      <c r="M274" t="s">
        <v>381</v>
      </c>
      <c r="N274" t="str">
        <f t="shared" si="22"/>
        <v>Kolhapur</v>
      </c>
      <c r="O274" t="s">
        <v>386</v>
      </c>
      <c r="P274" t="str">
        <f t="shared" si="23"/>
        <v>Net Banking</v>
      </c>
      <c r="Q274" t="s">
        <v>389</v>
      </c>
      <c r="R274">
        <f t="shared" si="24"/>
        <v>2</v>
      </c>
    </row>
    <row r="275" spans="1:18" x14ac:dyDescent="0.3">
      <c r="A275" t="s">
        <v>285</v>
      </c>
      <c r="B275" s="3">
        <v>46197</v>
      </c>
      <c r="C275" t="s">
        <v>323</v>
      </c>
      <c r="D275" t="s">
        <v>425</v>
      </c>
      <c r="E275" t="s">
        <v>346</v>
      </c>
      <c r="F275" t="str">
        <f t="shared" si="20"/>
        <v>Rohan Deshmukh</v>
      </c>
      <c r="G275" t="s">
        <v>359</v>
      </c>
      <c r="H275" t="s">
        <v>372</v>
      </c>
      <c r="I275">
        <v>2</v>
      </c>
      <c r="J275">
        <v>947.13</v>
      </c>
      <c r="K275">
        <v>1894.26</v>
      </c>
      <c r="L275">
        <f t="shared" si="21"/>
        <v>1894.26</v>
      </c>
      <c r="M275" t="s">
        <v>381</v>
      </c>
      <c r="N275" t="str">
        <f t="shared" si="22"/>
        <v>Kolhapur</v>
      </c>
      <c r="O275" t="s">
        <v>386</v>
      </c>
      <c r="P275" t="str">
        <f t="shared" si="23"/>
        <v>Net Banking</v>
      </c>
      <c r="Q275" t="s">
        <v>389</v>
      </c>
      <c r="R275">
        <f t="shared" si="24"/>
        <v>2</v>
      </c>
    </row>
    <row r="276" spans="1:18" x14ac:dyDescent="0.3">
      <c r="A276" t="s">
        <v>286</v>
      </c>
      <c r="B276" s="3">
        <v>46051</v>
      </c>
      <c r="C276" t="s">
        <v>313</v>
      </c>
      <c r="D276" t="s">
        <v>420</v>
      </c>
      <c r="E276" t="s">
        <v>341</v>
      </c>
      <c r="F276" t="str">
        <f t="shared" si="20"/>
        <v>Kavya Joshi</v>
      </c>
      <c r="G276" t="s">
        <v>364</v>
      </c>
      <c r="H276" t="s">
        <v>373</v>
      </c>
      <c r="I276">
        <v>1</v>
      </c>
      <c r="J276">
        <v>9209.32</v>
      </c>
      <c r="K276">
        <v>9209.32</v>
      </c>
      <c r="L276">
        <f t="shared" si="21"/>
        <v>9209.32</v>
      </c>
      <c r="M276" t="s">
        <v>376</v>
      </c>
      <c r="N276" t="str">
        <f t="shared" si="22"/>
        <v>Nagpur</v>
      </c>
      <c r="O276" t="s">
        <v>386</v>
      </c>
      <c r="P276" t="str">
        <f t="shared" si="23"/>
        <v>Net Banking</v>
      </c>
      <c r="Q276" t="s">
        <v>391</v>
      </c>
      <c r="R276">
        <f t="shared" si="24"/>
        <v>3</v>
      </c>
    </row>
    <row r="277" spans="1:18" x14ac:dyDescent="0.3">
      <c r="A277" t="s">
        <v>287</v>
      </c>
      <c r="B277" s="3">
        <v>46156</v>
      </c>
      <c r="C277" t="s">
        <v>319</v>
      </c>
      <c r="D277" t="s">
        <v>423</v>
      </c>
      <c r="E277" t="s">
        <v>344</v>
      </c>
      <c r="F277" t="str">
        <f t="shared" si="20"/>
        <v>Sneha Kulkarni</v>
      </c>
      <c r="G277" t="s">
        <v>361</v>
      </c>
      <c r="H277" t="s">
        <v>371</v>
      </c>
      <c r="I277">
        <v>2</v>
      </c>
      <c r="J277">
        <v>2414.06</v>
      </c>
      <c r="K277">
        <v>4828.12</v>
      </c>
      <c r="L277">
        <f t="shared" si="21"/>
        <v>4828.12</v>
      </c>
      <c r="M277" t="s">
        <v>376</v>
      </c>
      <c r="N277" t="str">
        <f t="shared" si="22"/>
        <v>Nagpur</v>
      </c>
      <c r="O277" t="s">
        <v>386</v>
      </c>
      <c r="P277" t="str">
        <f t="shared" si="23"/>
        <v>Net Banking</v>
      </c>
      <c r="Q277" t="s">
        <v>390</v>
      </c>
      <c r="R277">
        <f t="shared" si="24"/>
        <v>3</v>
      </c>
    </row>
    <row r="278" spans="1:18" x14ac:dyDescent="0.3">
      <c r="A278" t="s">
        <v>288</v>
      </c>
      <c r="B278" s="3">
        <v>46037</v>
      </c>
      <c r="C278" t="s">
        <v>319</v>
      </c>
      <c r="D278" t="s">
        <v>430</v>
      </c>
      <c r="E278" t="s">
        <v>351</v>
      </c>
      <c r="F278" t="str">
        <f t="shared" si="20"/>
        <v>Vivek Joshi</v>
      </c>
      <c r="G278" t="s">
        <v>365</v>
      </c>
      <c r="H278" t="s">
        <v>371</v>
      </c>
      <c r="I278">
        <v>5</v>
      </c>
      <c r="J278">
        <v>27694.7</v>
      </c>
      <c r="K278">
        <v>138473.5</v>
      </c>
      <c r="L278">
        <f t="shared" si="21"/>
        <v>138473.5</v>
      </c>
      <c r="M278" t="s">
        <v>379</v>
      </c>
      <c r="N278" t="str">
        <f t="shared" si="22"/>
        <v>Navi Mumbai</v>
      </c>
      <c r="O278" t="s">
        <v>385</v>
      </c>
      <c r="P278" t="str">
        <f t="shared" si="23"/>
        <v>Cash</v>
      </c>
      <c r="Q278" t="s">
        <v>391</v>
      </c>
      <c r="R278">
        <f t="shared" si="24"/>
        <v>2</v>
      </c>
    </row>
    <row r="279" spans="1:18" x14ac:dyDescent="0.3">
      <c r="A279" t="s">
        <v>289</v>
      </c>
      <c r="B279" s="3">
        <v>46229</v>
      </c>
      <c r="C279" t="s">
        <v>330</v>
      </c>
      <c r="D279" t="s">
        <v>412</v>
      </c>
      <c r="E279" t="s">
        <v>333</v>
      </c>
      <c r="F279" t="str">
        <f t="shared" si="20"/>
        <v>Aarav Sharma</v>
      </c>
      <c r="G279" t="s">
        <v>367</v>
      </c>
      <c r="H279" t="s">
        <v>371</v>
      </c>
      <c r="I279">
        <v>5</v>
      </c>
      <c r="J279">
        <v>44661.4</v>
      </c>
      <c r="K279">
        <v>223307</v>
      </c>
      <c r="L279">
        <f t="shared" si="21"/>
        <v>223307</v>
      </c>
      <c r="M279" t="s">
        <v>379</v>
      </c>
      <c r="N279" t="str">
        <f t="shared" si="22"/>
        <v>Navi Mumbai</v>
      </c>
      <c r="O279" t="s">
        <v>387</v>
      </c>
      <c r="P279" t="str">
        <f t="shared" si="23"/>
        <v>Debit Card</v>
      </c>
      <c r="Q279" t="s">
        <v>390</v>
      </c>
      <c r="R279">
        <f t="shared" si="24"/>
        <v>1</v>
      </c>
    </row>
    <row r="280" spans="1:18" x14ac:dyDescent="0.3">
      <c r="A280" t="s">
        <v>290</v>
      </c>
      <c r="B280" s="3">
        <v>46034</v>
      </c>
      <c r="C280" t="s">
        <v>315</v>
      </c>
      <c r="D280" t="s">
        <v>415</v>
      </c>
      <c r="E280" t="s">
        <v>336</v>
      </c>
      <c r="F280" t="str">
        <f t="shared" si="20"/>
        <v>Isha Gupta</v>
      </c>
      <c r="G280" t="s">
        <v>355</v>
      </c>
      <c r="H280" t="s">
        <v>369</v>
      </c>
      <c r="I280">
        <v>2</v>
      </c>
      <c r="J280">
        <v>710.96</v>
      </c>
      <c r="K280">
        <v>1421.92</v>
      </c>
      <c r="L280">
        <f t="shared" si="21"/>
        <v>1421.92</v>
      </c>
      <c r="M280" t="s">
        <v>375</v>
      </c>
      <c r="N280" t="str">
        <f t="shared" si="22"/>
        <v>Pune</v>
      </c>
      <c r="O280" t="s">
        <v>386</v>
      </c>
      <c r="P280" t="str">
        <f t="shared" si="23"/>
        <v>Net Banking</v>
      </c>
      <c r="Q280" t="s">
        <v>390</v>
      </c>
      <c r="R280">
        <f t="shared" si="24"/>
        <v>2</v>
      </c>
    </row>
    <row r="281" spans="1:18" x14ac:dyDescent="0.3">
      <c r="A281" t="s">
        <v>291</v>
      </c>
      <c r="B281" s="3">
        <v>46143</v>
      </c>
      <c r="C281" t="s">
        <v>313</v>
      </c>
      <c r="D281" t="s">
        <v>428</v>
      </c>
      <c r="E281" t="s">
        <v>349</v>
      </c>
      <c r="F281" t="str">
        <f t="shared" si="20"/>
        <v>Pooja Chavan</v>
      </c>
      <c r="G281" t="s">
        <v>362</v>
      </c>
      <c r="H281" t="s">
        <v>372</v>
      </c>
      <c r="I281">
        <v>1</v>
      </c>
      <c r="J281">
        <v>2413.9</v>
      </c>
      <c r="K281">
        <v>2413.9</v>
      </c>
      <c r="L281">
        <f t="shared" si="21"/>
        <v>2413.9</v>
      </c>
      <c r="M281" t="s">
        <v>379</v>
      </c>
      <c r="N281" t="str">
        <f t="shared" si="22"/>
        <v>Navi Mumbai</v>
      </c>
      <c r="O281" t="s">
        <v>384</v>
      </c>
      <c r="P281" t="str">
        <f t="shared" si="23"/>
        <v>Credit Card</v>
      </c>
      <c r="Q281" t="s">
        <v>390</v>
      </c>
      <c r="R281">
        <f t="shared" si="24"/>
        <v>3</v>
      </c>
    </row>
    <row r="282" spans="1:18" x14ac:dyDescent="0.3">
      <c r="A282" t="s">
        <v>292</v>
      </c>
      <c r="B282" s="3">
        <v>46251</v>
      </c>
      <c r="C282" t="s">
        <v>329</v>
      </c>
      <c r="D282" t="s">
        <v>431</v>
      </c>
      <c r="E282" t="s">
        <v>352</v>
      </c>
      <c r="F282" t="str">
        <f t="shared" si="20"/>
        <v>Akash Shinde</v>
      </c>
      <c r="G282" t="s">
        <v>358</v>
      </c>
      <c r="H282" t="s">
        <v>372</v>
      </c>
      <c r="I282">
        <v>4</v>
      </c>
      <c r="J282">
        <v>3119.65</v>
      </c>
      <c r="K282">
        <v>12478.6</v>
      </c>
      <c r="L282">
        <f t="shared" si="21"/>
        <v>12478.6</v>
      </c>
      <c r="M282" t="s">
        <v>379</v>
      </c>
      <c r="N282" t="str">
        <f t="shared" si="22"/>
        <v>Navi Mumbai</v>
      </c>
      <c r="O282" t="s">
        <v>385</v>
      </c>
      <c r="P282" t="str">
        <f t="shared" si="23"/>
        <v>Cash</v>
      </c>
      <c r="Q282" t="s">
        <v>390</v>
      </c>
      <c r="R282">
        <f t="shared" si="24"/>
        <v>2</v>
      </c>
    </row>
    <row r="283" spans="1:18" x14ac:dyDescent="0.3">
      <c r="A283" t="s">
        <v>293</v>
      </c>
      <c r="B283" s="3">
        <v>46243</v>
      </c>
      <c r="C283" t="s">
        <v>327</v>
      </c>
      <c r="D283" t="s">
        <v>423</v>
      </c>
      <c r="E283" t="s">
        <v>344</v>
      </c>
      <c r="F283" t="str">
        <f t="shared" si="20"/>
        <v>Sneha Kulkarni</v>
      </c>
      <c r="G283" t="s">
        <v>354</v>
      </c>
      <c r="H283" t="s">
        <v>369</v>
      </c>
      <c r="I283">
        <v>5</v>
      </c>
      <c r="J283">
        <v>1667.88</v>
      </c>
      <c r="K283">
        <v>8339.4</v>
      </c>
      <c r="L283">
        <f t="shared" si="21"/>
        <v>8339.4000000000015</v>
      </c>
      <c r="M283" t="s">
        <v>374</v>
      </c>
      <c r="N283" t="str">
        <f t="shared" si="22"/>
        <v>Nashik</v>
      </c>
      <c r="O283" t="s">
        <v>386</v>
      </c>
      <c r="P283" t="str">
        <f t="shared" si="23"/>
        <v>Net Banking</v>
      </c>
      <c r="Q283" t="s">
        <v>390</v>
      </c>
      <c r="R283">
        <f t="shared" si="24"/>
        <v>1</v>
      </c>
    </row>
    <row r="284" spans="1:18" x14ac:dyDescent="0.3">
      <c r="A284" t="s">
        <v>294</v>
      </c>
      <c r="B284" s="3">
        <v>46080</v>
      </c>
      <c r="C284" t="s">
        <v>321</v>
      </c>
      <c r="D284" t="s">
        <v>412</v>
      </c>
      <c r="E284" t="s">
        <v>333</v>
      </c>
      <c r="F284" t="str">
        <f t="shared" si="20"/>
        <v>Aarav Sharma</v>
      </c>
      <c r="G284" t="s">
        <v>356</v>
      </c>
      <c r="H284" t="s">
        <v>370</v>
      </c>
      <c r="I284">
        <v>2</v>
      </c>
      <c r="J284">
        <v>125.47</v>
      </c>
      <c r="K284">
        <v>250.94</v>
      </c>
      <c r="L284">
        <f t="shared" si="21"/>
        <v>250.94</v>
      </c>
      <c r="M284" t="s">
        <v>377</v>
      </c>
      <c r="N284" t="str">
        <f t="shared" si="22"/>
        <v>Aurangabad</v>
      </c>
      <c r="O284" t="s">
        <v>385</v>
      </c>
      <c r="P284" t="str">
        <f t="shared" si="23"/>
        <v>Cash</v>
      </c>
      <c r="Q284" t="s">
        <v>389</v>
      </c>
      <c r="R284">
        <f t="shared" si="24"/>
        <v>1</v>
      </c>
    </row>
    <row r="285" spans="1:18" x14ac:dyDescent="0.3">
      <c r="A285" t="s">
        <v>295</v>
      </c>
      <c r="B285" s="3">
        <v>46120</v>
      </c>
      <c r="C285" t="s">
        <v>312</v>
      </c>
      <c r="D285" t="s">
        <v>411</v>
      </c>
      <c r="E285" t="s">
        <v>332</v>
      </c>
      <c r="F285" t="str">
        <f t="shared" si="20"/>
        <v>Neha Pawar</v>
      </c>
      <c r="G285" t="s">
        <v>355</v>
      </c>
      <c r="H285" t="s">
        <v>369</v>
      </c>
      <c r="I285">
        <v>5</v>
      </c>
      <c r="J285">
        <v>689.38</v>
      </c>
      <c r="K285">
        <v>3446.9</v>
      </c>
      <c r="L285">
        <f t="shared" si="21"/>
        <v>3446.9</v>
      </c>
      <c r="M285" t="s">
        <v>381</v>
      </c>
      <c r="N285" t="str">
        <f t="shared" si="22"/>
        <v>Kolhapur</v>
      </c>
      <c r="O285" t="s">
        <v>387</v>
      </c>
      <c r="P285" t="str">
        <f t="shared" si="23"/>
        <v>Debit Card</v>
      </c>
      <c r="Q285" t="s">
        <v>390</v>
      </c>
      <c r="R285">
        <f t="shared" si="24"/>
        <v>2</v>
      </c>
    </row>
    <row r="286" spans="1:18" x14ac:dyDescent="0.3">
      <c r="A286" t="s">
        <v>296</v>
      </c>
      <c r="B286" s="3">
        <v>46208</v>
      </c>
      <c r="C286" t="s">
        <v>316</v>
      </c>
      <c r="D286" t="s">
        <v>427</v>
      </c>
      <c r="E286" t="s">
        <v>348</v>
      </c>
      <c r="F286" t="str">
        <f t="shared" si="20"/>
        <v>Ananya Patil</v>
      </c>
      <c r="G286" t="s">
        <v>357</v>
      </c>
      <c r="H286" t="s">
        <v>371</v>
      </c>
      <c r="I286">
        <v>2</v>
      </c>
      <c r="J286">
        <v>978.73</v>
      </c>
      <c r="K286">
        <v>1957.46</v>
      </c>
      <c r="L286">
        <f t="shared" si="21"/>
        <v>1957.46</v>
      </c>
      <c r="M286" t="s">
        <v>379</v>
      </c>
      <c r="N286" t="str">
        <f t="shared" si="22"/>
        <v>Navi Mumbai</v>
      </c>
      <c r="O286" t="s">
        <v>386</v>
      </c>
      <c r="P286" t="str">
        <f t="shared" si="23"/>
        <v>Net Banking</v>
      </c>
      <c r="Q286" t="s">
        <v>390</v>
      </c>
      <c r="R286">
        <f t="shared" si="24"/>
        <v>2</v>
      </c>
    </row>
    <row r="287" spans="1:18" x14ac:dyDescent="0.3">
      <c r="A287" t="s">
        <v>297</v>
      </c>
      <c r="B287" s="3">
        <v>46175</v>
      </c>
      <c r="C287" t="s">
        <v>313</v>
      </c>
      <c r="D287" t="s">
        <v>431</v>
      </c>
      <c r="E287" t="s">
        <v>352</v>
      </c>
      <c r="F287" t="str">
        <f t="shared" si="20"/>
        <v>Akash Shinde</v>
      </c>
      <c r="G287" t="s">
        <v>360</v>
      </c>
      <c r="H287" t="s">
        <v>371</v>
      </c>
      <c r="I287">
        <v>2</v>
      </c>
      <c r="J287">
        <v>1644.22</v>
      </c>
      <c r="K287">
        <v>3288.44</v>
      </c>
      <c r="L287">
        <f t="shared" si="21"/>
        <v>3288.44</v>
      </c>
      <c r="M287" t="s">
        <v>380</v>
      </c>
      <c r="N287" t="str">
        <f t="shared" si="22"/>
        <v>Mumbai</v>
      </c>
      <c r="O287" t="s">
        <v>384</v>
      </c>
      <c r="P287" t="str">
        <f t="shared" si="23"/>
        <v>Credit Card</v>
      </c>
      <c r="Q287" t="s">
        <v>389</v>
      </c>
      <c r="R287">
        <f t="shared" si="24"/>
        <v>1</v>
      </c>
    </row>
    <row r="288" spans="1:18" x14ac:dyDescent="0.3">
      <c r="A288" t="s">
        <v>298</v>
      </c>
      <c r="B288" s="3">
        <v>46161</v>
      </c>
      <c r="C288" t="s">
        <v>318</v>
      </c>
      <c r="D288" t="s">
        <v>427</v>
      </c>
      <c r="E288" t="s">
        <v>348</v>
      </c>
      <c r="F288" t="str">
        <f t="shared" si="20"/>
        <v>Ananya Patil</v>
      </c>
      <c r="G288" t="s">
        <v>367</v>
      </c>
      <c r="H288" t="s">
        <v>371</v>
      </c>
      <c r="I288">
        <v>4</v>
      </c>
      <c r="J288">
        <v>44450.67</v>
      </c>
      <c r="K288">
        <v>177802.68</v>
      </c>
      <c r="L288">
        <f t="shared" si="21"/>
        <v>177802.68</v>
      </c>
      <c r="M288" t="s">
        <v>374</v>
      </c>
      <c r="N288" t="str">
        <f t="shared" si="22"/>
        <v>Nashik</v>
      </c>
      <c r="O288" t="s">
        <v>386</v>
      </c>
      <c r="P288" t="str">
        <f t="shared" si="23"/>
        <v>Net Banking</v>
      </c>
      <c r="Q288" t="s">
        <v>390</v>
      </c>
      <c r="R288">
        <f t="shared" si="24"/>
        <v>2</v>
      </c>
    </row>
    <row r="289" spans="1:18" x14ac:dyDescent="0.3">
      <c r="A289" t="s">
        <v>299</v>
      </c>
      <c r="B289" s="3">
        <v>46176</v>
      </c>
      <c r="C289" t="s">
        <v>324</v>
      </c>
      <c r="D289" t="s">
        <v>411</v>
      </c>
      <c r="E289" t="s">
        <v>332</v>
      </c>
      <c r="F289" t="str">
        <f t="shared" si="20"/>
        <v>Neha Pawar</v>
      </c>
      <c r="G289" t="s">
        <v>360</v>
      </c>
      <c r="H289" t="s">
        <v>371</v>
      </c>
      <c r="I289">
        <v>5</v>
      </c>
      <c r="J289">
        <v>1734.81</v>
      </c>
      <c r="K289">
        <v>8674.0499999999993</v>
      </c>
      <c r="L289">
        <f t="shared" si="21"/>
        <v>8674.0499999999993</v>
      </c>
      <c r="M289" t="s">
        <v>377</v>
      </c>
      <c r="N289" t="str">
        <f t="shared" si="22"/>
        <v>Aurangabad</v>
      </c>
      <c r="O289" t="s">
        <v>384</v>
      </c>
      <c r="P289" t="str">
        <f t="shared" si="23"/>
        <v>Credit Card</v>
      </c>
      <c r="Q289" t="s">
        <v>389</v>
      </c>
      <c r="R289">
        <f t="shared" si="24"/>
        <v>3</v>
      </c>
    </row>
    <row r="290" spans="1:18" x14ac:dyDescent="0.3">
      <c r="A290" t="s">
        <v>300</v>
      </c>
      <c r="B290" s="3">
        <v>46093</v>
      </c>
      <c r="C290" t="s">
        <v>313</v>
      </c>
      <c r="D290" t="s">
        <v>420</v>
      </c>
      <c r="E290" t="s">
        <v>341</v>
      </c>
      <c r="F290" t="str">
        <f t="shared" si="20"/>
        <v>Kavya Joshi</v>
      </c>
      <c r="G290" t="s">
        <v>356</v>
      </c>
      <c r="H290" t="s">
        <v>370</v>
      </c>
      <c r="I290">
        <v>2</v>
      </c>
      <c r="J290">
        <v>117.93</v>
      </c>
      <c r="K290">
        <v>235.86</v>
      </c>
      <c r="L290">
        <f t="shared" si="21"/>
        <v>235.86</v>
      </c>
      <c r="M290" t="s">
        <v>374</v>
      </c>
      <c r="N290" t="str">
        <f t="shared" si="22"/>
        <v>Nashik</v>
      </c>
      <c r="O290" t="s">
        <v>385</v>
      </c>
      <c r="P290" t="str">
        <f t="shared" si="23"/>
        <v>Cash</v>
      </c>
      <c r="Q290" t="s">
        <v>391</v>
      </c>
      <c r="R290">
        <f t="shared" si="24"/>
        <v>3</v>
      </c>
    </row>
    <row r="291" spans="1:18" x14ac:dyDescent="0.3">
      <c r="A291" t="s">
        <v>301</v>
      </c>
      <c r="B291" s="3">
        <v>46264</v>
      </c>
      <c r="C291" t="s">
        <v>329</v>
      </c>
      <c r="D291" t="s">
        <v>421</v>
      </c>
      <c r="E291" t="s">
        <v>342</v>
      </c>
      <c r="F291" t="str">
        <f t="shared" si="20"/>
        <v>Nikhil Pawar</v>
      </c>
      <c r="G291" t="s">
        <v>368</v>
      </c>
      <c r="H291" t="s">
        <v>373</v>
      </c>
      <c r="I291">
        <v>1</v>
      </c>
      <c r="J291">
        <v>7113.98</v>
      </c>
      <c r="K291">
        <v>7113.98</v>
      </c>
      <c r="L291">
        <f t="shared" si="21"/>
        <v>7113.98</v>
      </c>
      <c r="M291" t="s">
        <v>378</v>
      </c>
      <c r="N291" t="str">
        <f t="shared" si="22"/>
        <v>Thane</v>
      </c>
      <c r="O291" t="s">
        <v>385</v>
      </c>
      <c r="P291" t="str">
        <f t="shared" si="23"/>
        <v>Cash</v>
      </c>
      <c r="Q291" t="s">
        <v>390</v>
      </c>
      <c r="R291">
        <f t="shared" si="24"/>
        <v>2</v>
      </c>
    </row>
    <row r="292" spans="1:18" x14ac:dyDescent="0.3">
      <c r="A292" t="s">
        <v>302</v>
      </c>
      <c r="B292" s="3">
        <v>46216</v>
      </c>
      <c r="C292" t="s">
        <v>314</v>
      </c>
      <c r="D292" t="s">
        <v>424</v>
      </c>
      <c r="E292" t="s">
        <v>345</v>
      </c>
      <c r="F292" t="str">
        <f t="shared" si="20"/>
        <v>Mansi Kulkarni</v>
      </c>
      <c r="G292" t="s">
        <v>361</v>
      </c>
      <c r="H292" t="s">
        <v>371</v>
      </c>
      <c r="I292">
        <v>3</v>
      </c>
      <c r="J292">
        <v>2438.23</v>
      </c>
      <c r="K292">
        <v>7314.69</v>
      </c>
      <c r="L292">
        <f t="shared" si="21"/>
        <v>7314.6900000000005</v>
      </c>
      <c r="M292" t="s">
        <v>376</v>
      </c>
      <c r="N292" t="str">
        <f t="shared" si="22"/>
        <v>Nagpur</v>
      </c>
      <c r="O292" t="s">
        <v>384</v>
      </c>
      <c r="P292" t="str">
        <f t="shared" si="23"/>
        <v>Credit Card</v>
      </c>
      <c r="Q292" t="s">
        <v>390</v>
      </c>
      <c r="R292">
        <f t="shared" si="24"/>
        <v>2</v>
      </c>
    </row>
    <row r="293" spans="1:18" x14ac:dyDescent="0.3">
      <c r="A293" t="s">
        <v>303</v>
      </c>
      <c r="B293" s="3">
        <v>46257</v>
      </c>
      <c r="C293" t="s">
        <v>313</v>
      </c>
      <c r="D293" t="s">
        <v>420</v>
      </c>
      <c r="E293" t="s">
        <v>341</v>
      </c>
      <c r="F293" t="str">
        <f t="shared" si="20"/>
        <v>Kavya Joshi</v>
      </c>
      <c r="G293" t="s">
        <v>359</v>
      </c>
      <c r="H293" t="s">
        <v>372</v>
      </c>
      <c r="I293">
        <v>2</v>
      </c>
      <c r="J293">
        <v>955.04</v>
      </c>
      <c r="K293">
        <v>1910.08</v>
      </c>
      <c r="L293">
        <f t="shared" si="21"/>
        <v>1910.08</v>
      </c>
      <c r="M293" t="s">
        <v>379</v>
      </c>
      <c r="N293" t="str">
        <f t="shared" si="22"/>
        <v>Navi Mumbai</v>
      </c>
      <c r="O293" t="s">
        <v>385</v>
      </c>
      <c r="P293" t="str">
        <f t="shared" si="23"/>
        <v>Cash</v>
      </c>
      <c r="Q293" t="s">
        <v>391</v>
      </c>
      <c r="R293">
        <f t="shared" si="24"/>
        <v>3</v>
      </c>
    </row>
    <row r="294" spans="1:18" x14ac:dyDescent="0.3">
      <c r="A294" t="s">
        <v>304</v>
      </c>
      <c r="B294" s="3">
        <v>46088</v>
      </c>
      <c r="C294" t="s">
        <v>318</v>
      </c>
      <c r="D294" t="s">
        <v>414</v>
      </c>
      <c r="E294" t="s">
        <v>335</v>
      </c>
      <c r="F294" t="str">
        <f t="shared" si="20"/>
        <v>Karan Mehta</v>
      </c>
      <c r="G294" t="s">
        <v>356</v>
      </c>
      <c r="H294" t="s">
        <v>370</v>
      </c>
      <c r="I294">
        <v>2</v>
      </c>
      <c r="J294">
        <v>117.32</v>
      </c>
      <c r="K294">
        <v>234.64</v>
      </c>
      <c r="L294">
        <f t="shared" si="21"/>
        <v>234.64</v>
      </c>
      <c r="M294" t="s">
        <v>375</v>
      </c>
      <c r="N294" t="str">
        <f t="shared" si="22"/>
        <v>Pune</v>
      </c>
      <c r="O294" t="s">
        <v>385</v>
      </c>
      <c r="P294" t="str">
        <f t="shared" si="23"/>
        <v>Cash</v>
      </c>
      <c r="Q294" t="s">
        <v>390</v>
      </c>
      <c r="R294">
        <f t="shared" si="24"/>
        <v>2</v>
      </c>
    </row>
    <row r="295" spans="1:18" x14ac:dyDescent="0.3">
      <c r="A295" t="s">
        <v>305</v>
      </c>
      <c r="B295" s="3">
        <v>46071</v>
      </c>
      <c r="C295" t="s">
        <v>313</v>
      </c>
      <c r="D295" t="s">
        <v>419</v>
      </c>
      <c r="E295" t="s">
        <v>340</v>
      </c>
      <c r="F295" t="str">
        <f t="shared" si="20"/>
        <v>Rahul Jadhav</v>
      </c>
      <c r="G295" t="s">
        <v>365</v>
      </c>
      <c r="H295" t="s">
        <v>371</v>
      </c>
      <c r="I295">
        <v>5</v>
      </c>
      <c r="J295">
        <v>29257.67</v>
      </c>
      <c r="K295">
        <v>146288.35</v>
      </c>
      <c r="L295">
        <f t="shared" si="21"/>
        <v>146288.34999999998</v>
      </c>
      <c r="M295" t="s">
        <v>379</v>
      </c>
      <c r="N295" t="str">
        <f t="shared" si="22"/>
        <v>Navi Mumbai</v>
      </c>
      <c r="O295" t="s">
        <v>386</v>
      </c>
      <c r="P295" t="str">
        <f t="shared" si="23"/>
        <v>Net Banking</v>
      </c>
      <c r="Q295" t="s">
        <v>391</v>
      </c>
      <c r="R295">
        <f t="shared" si="24"/>
        <v>2</v>
      </c>
    </row>
    <row r="296" spans="1:18" x14ac:dyDescent="0.3">
      <c r="A296" t="s">
        <v>306</v>
      </c>
      <c r="B296" s="3">
        <v>46217</v>
      </c>
      <c r="C296" t="s">
        <v>317</v>
      </c>
      <c r="D296" t="s">
        <v>420</v>
      </c>
      <c r="E296" t="s">
        <v>341</v>
      </c>
      <c r="F296" t="str">
        <f t="shared" si="20"/>
        <v>Kavya Joshi</v>
      </c>
      <c r="G296" t="s">
        <v>367</v>
      </c>
      <c r="H296" t="s">
        <v>371</v>
      </c>
      <c r="I296">
        <v>1</v>
      </c>
      <c r="J296">
        <v>42193.47</v>
      </c>
      <c r="K296">
        <v>42193.47</v>
      </c>
      <c r="L296">
        <f t="shared" si="21"/>
        <v>42193.47</v>
      </c>
      <c r="M296" t="s">
        <v>376</v>
      </c>
      <c r="N296" t="str">
        <f t="shared" si="22"/>
        <v>Nagpur</v>
      </c>
      <c r="O296" t="s">
        <v>385</v>
      </c>
      <c r="P296" t="str">
        <f t="shared" si="23"/>
        <v>Cash</v>
      </c>
      <c r="Q296" t="s">
        <v>390</v>
      </c>
      <c r="R296">
        <f t="shared" si="24"/>
        <v>1</v>
      </c>
    </row>
    <row r="297" spans="1:18" x14ac:dyDescent="0.3">
      <c r="A297" t="s">
        <v>307</v>
      </c>
      <c r="B297" s="3">
        <v>46255</v>
      </c>
      <c r="C297" t="s">
        <v>321</v>
      </c>
      <c r="D297" t="s">
        <v>417</v>
      </c>
      <c r="E297" t="s">
        <v>338</v>
      </c>
      <c r="F297" t="str">
        <f t="shared" si="20"/>
        <v>Aditya More</v>
      </c>
      <c r="G297" t="s">
        <v>359</v>
      </c>
      <c r="H297" t="s">
        <v>372</v>
      </c>
      <c r="I297">
        <v>3</v>
      </c>
      <c r="J297">
        <v>864.57</v>
      </c>
      <c r="K297">
        <v>2593.71</v>
      </c>
      <c r="L297">
        <f t="shared" si="21"/>
        <v>2593.71</v>
      </c>
      <c r="M297" t="s">
        <v>376</v>
      </c>
      <c r="N297" t="str">
        <f t="shared" si="22"/>
        <v>Nagpur</v>
      </c>
      <c r="O297" t="s">
        <v>383</v>
      </c>
      <c r="P297" t="str">
        <f t="shared" si="23"/>
        <v>UPI</v>
      </c>
      <c r="Q297" t="s">
        <v>389</v>
      </c>
      <c r="R297">
        <f t="shared" si="24"/>
        <v>1</v>
      </c>
    </row>
    <row r="298" spans="1:18" x14ac:dyDescent="0.3">
      <c r="A298" t="s">
        <v>308</v>
      </c>
      <c r="B298" s="3">
        <v>46201</v>
      </c>
      <c r="C298" t="s">
        <v>323</v>
      </c>
      <c r="D298" t="s">
        <v>417</v>
      </c>
      <c r="E298" t="s">
        <v>338</v>
      </c>
      <c r="F298" t="str">
        <f t="shared" si="20"/>
        <v>Aditya More</v>
      </c>
      <c r="G298" t="s">
        <v>358</v>
      </c>
      <c r="H298" t="s">
        <v>372</v>
      </c>
      <c r="I298">
        <v>4</v>
      </c>
      <c r="J298">
        <v>3465.24</v>
      </c>
      <c r="K298">
        <v>13860.96</v>
      </c>
      <c r="L298">
        <f t="shared" si="21"/>
        <v>13860.96</v>
      </c>
      <c r="M298" t="s">
        <v>379</v>
      </c>
      <c r="N298" t="str">
        <f t="shared" si="22"/>
        <v>Navi Mumbai</v>
      </c>
      <c r="O298" t="s">
        <v>384</v>
      </c>
      <c r="P298" t="str">
        <f t="shared" si="23"/>
        <v>Credit Card</v>
      </c>
      <c r="Q298" t="s">
        <v>391</v>
      </c>
      <c r="R298">
        <f t="shared" si="24"/>
        <v>2</v>
      </c>
    </row>
    <row r="299" spans="1:18" x14ac:dyDescent="0.3">
      <c r="A299" t="s">
        <v>309</v>
      </c>
      <c r="B299" s="3">
        <v>46159</v>
      </c>
      <c r="C299" t="s">
        <v>327</v>
      </c>
      <c r="D299" t="s">
        <v>428</v>
      </c>
      <c r="E299" t="s">
        <v>349</v>
      </c>
      <c r="F299" t="str">
        <f t="shared" si="20"/>
        <v>Pooja Chavan</v>
      </c>
      <c r="G299" t="s">
        <v>364</v>
      </c>
      <c r="H299" t="s">
        <v>373</v>
      </c>
      <c r="I299">
        <v>3</v>
      </c>
      <c r="J299">
        <v>8297.1200000000008</v>
      </c>
      <c r="K299">
        <v>24891.360000000001</v>
      </c>
      <c r="L299">
        <f t="shared" si="21"/>
        <v>24891.360000000001</v>
      </c>
      <c r="M299" t="s">
        <v>377</v>
      </c>
      <c r="N299" t="str">
        <f t="shared" si="22"/>
        <v>Aurangabad</v>
      </c>
      <c r="O299" t="s">
        <v>387</v>
      </c>
      <c r="P299" t="str">
        <f t="shared" si="23"/>
        <v>Debit Card</v>
      </c>
      <c r="Q299" t="s">
        <v>391</v>
      </c>
      <c r="R299">
        <f t="shared" si="24"/>
        <v>1</v>
      </c>
    </row>
    <row r="300" spans="1:18" x14ac:dyDescent="0.3">
      <c r="A300" t="s">
        <v>310</v>
      </c>
      <c r="B300" s="3">
        <v>46228</v>
      </c>
      <c r="C300" t="s">
        <v>325</v>
      </c>
      <c r="D300" t="s">
        <v>414</v>
      </c>
      <c r="E300" t="s">
        <v>335</v>
      </c>
      <c r="F300" t="str">
        <f t="shared" si="20"/>
        <v>Karan Mehta</v>
      </c>
      <c r="G300" t="s">
        <v>362</v>
      </c>
      <c r="H300" t="s">
        <v>372</v>
      </c>
      <c r="I300">
        <v>4</v>
      </c>
      <c r="J300">
        <v>2185.04</v>
      </c>
      <c r="K300">
        <v>8740.16</v>
      </c>
      <c r="L300">
        <f t="shared" si="21"/>
        <v>8740.16</v>
      </c>
      <c r="M300" t="s">
        <v>376</v>
      </c>
      <c r="N300" t="str">
        <f t="shared" si="22"/>
        <v>Nagpur</v>
      </c>
      <c r="O300" t="s">
        <v>387</v>
      </c>
      <c r="P300" t="str">
        <f t="shared" si="23"/>
        <v>Debit Card</v>
      </c>
      <c r="Q300" t="s">
        <v>390</v>
      </c>
      <c r="R300">
        <f t="shared" si="24"/>
        <v>1</v>
      </c>
    </row>
    <row r="301" spans="1:18" x14ac:dyDescent="0.3">
      <c r="A301" t="s">
        <v>311</v>
      </c>
      <c r="B301" s="3">
        <v>46079</v>
      </c>
      <c r="C301" t="s">
        <v>320</v>
      </c>
      <c r="D301" t="s">
        <v>412</v>
      </c>
      <c r="E301" t="s">
        <v>333</v>
      </c>
      <c r="F301" t="str">
        <f t="shared" si="20"/>
        <v>Aarav Sharma</v>
      </c>
      <c r="G301" t="s">
        <v>366</v>
      </c>
      <c r="H301" t="s">
        <v>373</v>
      </c>
      <c r="I301">
        <v>1</v>
      </c>
      <c r="J301">
        <v>12150.06</v>
      </c>
      <c r="K301">
        <v>12150.06</v>
      </c>
      <c r="L301">
        <f t="shared" si="21"/>
        <v>12150.06</v>
      </c>
      <c r="M301" t="s">
        <v>377</v>
      </c>
      <c r="N301" t="str">
        <f t="shared" si="22"/>
        <v>Aurangabad</v>
      </c>
      <c r="O301" t="s">
        <v>386</v>
      </c>
      <c r="P301" t="str">
        <f t="shared" si="23"/>
        <v>Net Banking</v>
      </c>
      <c r="Q301" t="s">
        <v>391</v>
      </c>
      <c r="R301">
        <f t="shared" si="24"/>
        <v>1</v>
      </c>
    </row>
  </sheetData>
  <autoFilter ref="Q1:Q301" xr:uid="{00000000-0001-0000-00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0365-AF4B-438F-A030-8B7C24150FDD}">
  <dimension ref="A3:B9"/>
  <sheetViews>
    <sheetView topLeftCell="A4" workbookViewId="0">
      <selection activeCell="I8" sqref="I8"/>
    </sheetView>
  </sheetViews>
  <sheetFormatPr defaultRowHeight="14.4" x14ac:dyDescent="0.3"/>
  <cols>
    <col min="1" max="1" width="10.77734375" bestFit="1" customWidth="1"/>
    <col min="2" max="2" width="19.77734375" bestFit="1" customWidth="1"/>
  </cols>
  <sheetData>
    <row r="3" spans="1:2" x14ac:dyDescent="0.3">
      <c r="A3" s="4" t="s">
        <v>5</v>
      </c>
      <c r="B3" t="s">
        <v>398</v>
      </c>
    </row>
    <row r="4" spans="1:2" x14ac:dyDescent="0.3">
      <c r="A4" s="5" t="s">
        <v>369</v>
      </c>
      <c r="B4">
        <v>164566.40000000002</v>
      </c>
    </row>
    <row r="5" spans="1:2" x14ac:dyDescent="0.3">
      <c r="A5" s="5" t="s">
        <v>371</v>
      </c>
      <c r="B5">
        <v>3894988.5100000002</v>
      </c>
    </row>
    <row r="6" spans="1:2" x14ac:dyDescent="0.3">
      <c r="A6" s="5" t="s">
        <v>372</v>
      </c>
      <c r="B6">
        <v>445775.63000000012</v>
      </c>
    </row>
    <row r="7" spans="1:2" x14ac:dyDescent="0.3">
      <c r="A7" s="5" t="s">
        <v>373</v>
      </c>
      <c r="B7">
        <v>1110170.8600000001</v>
      </c>
    </row>
    <row r="8" spans="1:2" x14ac:dyDescent="0.3">
      <c r="A8" s="5" t="s">
        <v>370</v>
      </c>
      <c r="B8">
        <v>22135.649999999994</v>
      </c>
    </row>
    <row r="9" spans="1:2" x14ac:dyDescent="0.3">
      <c r="A9" s="5" t="s">
        <v>397</v>
      </c>
      <c r="B9">
        <v>5637637.0500000007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C7C8-34A7-44E1-8AF8-B5C9C475354E}">
  <dimension ref="A3:B12"/>
  <sheetViews>
    <sheetView workbookViewId="0">
      <selection activeCell="G25" sqref="G25"/>
    </sheetView>
  </sheetViews>
  <sheetFormatPr defaultRowHeight="14.4" x14ac:dyDescent="0.3"/>
  <cols>
    <col min="1" max="1" width="11.77734375" bestFit="1" customWidth="1"/>
    <col min="2" max="2" width="19.77734375" bestFit="1" customWidth="1"/>
  </cols>
  <sheetData>
    <row r="3" spans="1:2" x14ac:dyDescent="0.3">
      <c r="A3" s="4" t="s">
        <v>9</v>
      </c>
      <c r="B3" t="s">
        <v>398</v>
      </c>
    </row>
    <row r="4" spans="1:2" x14ac:dyDescent="0.3">
      <c r="A4" s="5" t="s">
        <v>377</v>
      </c>
      <c r="B4">
        <v>588679.41</v>
      </c>
    </row>
    <row r="5" spans="1:2" x14ac:dyDescent="0.3">
      <c r="A5" s="5" t="s">
        <v>381</v>
      </c>
      <c r="B5">
        <v>516340.27000000008</v>
      </c>
    </row>
    <row r="6" spans="1:2" x14ac:dyDescent="0.3">
      <c r="A6" s="5" t="s">
        <v>380</v>
      </c>
      <c r="B6">
        <v>510450.25999999995</v>
      </c>
    </row>
    <row r="7" spans="1:2" x14ac:dyDescent="0.3">
      <c r="A7" s="5" t="s">
        <v>376</v>
      </c>
      <c r="B7">
        <v>701476.17999999982</v>
      </c>
    </row>
    <row r="8" spans="1:2" x14ac:dyDescent="0.3">
      <c r="A8" s="5" t="s">
        <v>374</v>
      </c>
      <c r="B8">
        <v>830626.71000000008</v>
      </c>
    </row>
    <row r="9" spans="1:2" x14ac:dyDescent="0.3">
      <c r="A9" s="5" t="s">
        <v>379</v>
      </c>
      <c r="B9">
        <v>1533119.8099999998</v>
      </c>
    </row>
    <row r="10" spans="1:2" x14ac:dyDescent="0.3">
      <c r="A10" s="5" t="s">
        <v>375</v>
      </c>
      <c r="B10">
        <v>451182.86000000004</v>
      </c>
    </row>
    <row r="11" spans="1:2" x14ac:dyDescent="0.3">
      <c r="A11" s="5" t="s">
        <v>378</v>
      </c>
      <c r="B11">
        <v>505761.54999999987</v>
      </c>
    </row>
    <row r="12" spans="1:2" x14ac:dyDescent="0.3">
      <c r="A12" s="5" t="s">
        <v>397</v>
      </c>
      <c r="B12">
        <v>5637637.0499999998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0CCC-A72C-4905-A3C2-4B30E089C667}">
  <dimension ref="A3:B19"/>
  <sheetViews>
    <sheetView workbookViewId="0">
      <selection activeCell="A4" sqref="A4"/>
    </sheetView>
  </sheetViews>
  <sheetFormatPr defaultRowHeight="14.4" x14ac:dyDescent="0.3"/>
  <cols>
    <col min="1" max="1" width="16" bestFit="1" customWidth="1"/>
    <col min="2" max="2" width="14.88671875" bestFit="1" customWidth="1"/>
  </cols>
  <sheetData>
    <row r="3" spans="1:2" x14ac:dyDescent="0.3">
      <c r="A3" s="4" t="s">
        <v>4</v>
      </c>
      <c r="B3" t="s">
        <v>399</v>
      </c>
    </row>
    <row r="4" spans="1:2" x14ac:dyDescent="0.3">
      <c r="A4" s="5" t="s">
        <v>354</v>
      </c>
      <c r="B4">
        <v>65</v>
      </c>
    </row>
    <row r="5" spans="1:2" x14ac:dyDescent="0.3">
      <c r="A5" s="5" t="s">
        <v>368</v>
      </c>
      <c r="B5">
        <v>65</v>
      </c>
    </row>
    <row r="6" spans="1:2" x14ac:dyDescent="0.3">
      <c r="A6" s="5" t="s">
        <v>366</v>
      </c>
      <c r="B6">
        <v>38</v>
      </c>
    </row>
    <row r="7" spans="1:2" x14ac:dyDescent="0.3">
      <c r="A7" s="5" t="s">
        <v>361</v>
      </c>
      <c r="B7">
        <v>59</v>
      </c>
    </row>
    <row r="8" spans="1:2" x14ac:dyDescent="0.3">
      <c r="A8" s="5" t="s">
        <v>362</v>
      </c>
      <c r="B8">
        <v>73</v>
      </c>
    </row>
    <row r="9" spans="1:2" x14ac:dyDescent="0.3">
      <c r="A9" s="5" t="s">
        <v>360</v>
      </c>
      <c r="B9">
        <v>67</v>
      </c>
    </row>
    <row r="10" spans="1:2" x14ac:dyDescent="0.3">
      <c r="A10" s="5" t="s">
        <v>367</v>
      </c>
      <c r="B10">
        <v>48</v>
      </c>
    </row>
    <row r="11" spans="1:2" x14ac:dyDescent="0.3">
      <c r="A11" s="5" t="s">
        <v>357</v>
      </c>
      <c r="B11">
        <v>80</v>
      </c>
    </row>
    <row r="12" spans="1:2" x14ac:dyDescent="0.3">
      <c r="A12" s="5" t="s">
        <v>356</v>
      </c>
      <c r="B12">
        <v>90</v>
      </c>
    </row>
    <row r="13" spans="1:2" x14ac:dyDescent="0.3">
      <c r="A13" s="5" t="s">
        <v>364</v>
      </c>
      <c r="B13">
        <v>27</v>
      </c>
    </row>
    <row r="14" spans="1:2" x14ac:dyDescent="0.3">
      <c r="A14" s="5" t="s">
        <v>363</v>
      </c>
      <c r="B14">
        <v>46</v>
      </c>
    </row>
    <row r="15" spans="1:2" x14ac:dyDescent="0.3">
      <c r="A15" s="5" t="s">
        <v>358</v>
      </c>
      <c r="B15">
        <v>71</v>
      </c>
    </row>
    <row r="16" spans="1:2" x14ac:dyDescent="0.3">
      <c r="A16" s="5" t="s">
        <v>365</v>
      </c>
      <c r="B16">
        <v>49</v>
      </c>
    </row>
    <row r="17" spans="1:2" x14ac:dyDescent="0.3">
      <c r="A17" s="5" t="s">
        <v>359</v>
      </c>
      <c r="B17">
        <v>61</v>
      </c>
    </row>
    <row r="18" spans="1:2" x14ac:dyDescent="0.3">
      <c r="A18" s="5" t="s">
        <v>355</v>
      </c>
      <c r="B18">
        <v>73</v>
      </c>
    </row>
    <row r="19" spans="1:2" x14ac:dyDescent="0.3">
      <c r="A19" s="5" t="s">
        <v>397</v>
      </c>
      <c r="B19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E374-A20E-415A-B29F-752B97CAC438}">
  <dimension ref="A3:B13"/>
  <sheetViews>
    <sheetView workbookViewId="0">
      <selection activeCell="H5" sqref="H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4" t="s">
        <v>396</v>
      </c>
      <c r="B3" t="s">
        <v>398</v>
      </c>
    </row>
    <row r="4" spans="1:2" x14ac:dyDescent="0.3">
      <c r="A4" s="5" t="s">
        <v>400</v>
      </c>
      <c r="B4">
        <v>660719.85</v>
      </c>
    </row>
    <row r="5" spans="1:2" x14ac:dyDescent="0.3">
      <c r="A5" s="5" t="s">
        <v>401</v>
      </c>
      <c r="B5">
        <v>724618.62</v>
      </c>
    </row>
    <row r="6" spans="1:2" x14ac:dyDescent="0.3">
      <c r="A6" s="5" t="s">
        <v>402</v>
      </c>
      <c r="B6">
        <v>437890.63999999996</v>
      </c>
    </row>
    <row r="7" spans="1:2" x14ac:dyDescent="0.3">
      <c r="A7" s="5" t="s">
        <v>403</v>
      </c>
      <c r="B7">
        <v>600750.46000000008</v>
      </c>
    </row>
    <row r="8" spans="1:2" x14ac:dyDescent="0.3">
      <c r="A8" s="5" t="s">
        <v>404</v>
      </c>
      <c r="B8">
        <v>770744.18999999983</v>
      </c>
    </row>
    <row r="9" spans="1:2" x14ac:dyDescent="0.3">
      <c r="A9" s="5" t="s">
        <v>405</v>
      </c>
      <c r="B9">
        <v>660226.98999999987</v>
      </c>
    </row>
    <row r="10" spans="1:2" x14ac:dyDescent="0.3">
      <c r="A10" s="5" t="s">
        <v>406</v>
      </c>
      <c r="B10">
        <v>530143.4800000001</v>
      </c>
    </row>
    <row r="11" spans="1:2" x14ac:dyDescent="0.3">
      <c r="A11" s="5" t="s">
        <v>407</v>
      </c>
      <c r="B11">
        <v>1116840.8899999997</v>
      </c>
    </row>
    <row r="12" spans="1:2" x14ac:dyDescent="0.3">
      <c r="A12" s="5" t="s">
        <v>408</v>
      </c>
      <c r="B12">
        <v>135701.93</v>
      </c>
    </row>
    <row r="13" spans="1:2" x14ac:dyDescent="0.3">
      <c r="A13" s="5" t="s">
        <v>397</v>
      </c>
      <c r="B13">
        <v>5637637.0499999989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8501-D6EE-46AB-A644-8A45C9021253}">
  <dimension ref="A3:B10"/>
  <sheetViews>
    <sheetView workbookViewId="0">
      <selection activeCell="D19" sqref="D19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4" t="s">
        <v>396</v>
      </c>
      <c r="B3" t="s">
        <v>398</v>
      </c>
    </row>
    <row r="4" spans="1:2" x14ac:dyDescent="0.3">
      <c r="A4" s="5" t="s">
        <v>385</v>
      </c>
      <c r="B4">
        <v>1040973.2699999998</v>
      </c>
    </row>
    <row r="5" spans="1:2" x14ac:dyDescent="0.3">
      <c r="A5" s="5" t="s">
        <v>384</v>
      </c>
      <c r="B5">
        <v>1052908.3099999998</v>
      </c>
    </row>
    <row r="6" spans="1:2" x14ac:dyDescent="0.3">
      <c r="A6" s="5" t="s">
        <v>387</v>
      </c>
      <c r="B6">
        <v>1112636.1299999997</v>
      </c>
    </row>
    <row r="7" spans="1:2" x14ac:dyDescent="0.3">
      <c r="A7" s="5" t="s">
        <v>386</v>
      </c>
      <c r="B7">
        <v>1575334.32</v>
      </c>
    </row>
    <row r="8" spans="1:2" x14ac:dyDescent="0.3">
      <c r="A8" s="5" t="s">
        <v>383</v>
      </c>
      <c r="B8">
        <v>850251.99999999965</v>
      </c>
    </row>
    <row r="9" spans="1:2" x14ac:dyDescent="0.3">
      <c r="A9" s="5" t="s">
        <v>388</v>
      </c>
      <c r="B9">
        <v>5533.02</v>
      </c>
    </row>
    <row r="10" spans="1:2" x14ac:dyDescent="0.3">
      <c r="A10" s="5" t="s">
        <v>397</v>
      </c>
      <c r="B10">
        <v>5637637.0499999989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D353-CD0F-40B8-AEFE-F115880490FE}">
  <dimension ref="A3:B25"/>
  <sheetViews>
    <sheetView workbookViewId="0">
      <selection activeCell="A18" sqref="A18"/>
    </sheetView>
  </sheetViews>
  <sheetFormatPr defaultRowHeight="14.4" x14ac:dyDescent="0.3"/>
  <cols>
    <col min="1" max="1" width="15.21875" bestFit="1" customWidth="1"/>
    <col min="2" max="2" width="19.77734375" bestFit="1" customWidth="1"/>
  </cols>
  <sheetData>
    <row r="3" spans="1:2" x14ac:dyDescent="0.3">
      <c r="A3" s="4" t="s">
        <v>396</v>
      </c>
      <c r="B3" t="s">
        <v>398</v>
      </c>
    </row>
    <row r="4" spans="1:2" x14ac:dyDescent="0.3">
      <c r="A4" s="5" t="s">
        <v>336</v>
      </c>
      <c r="B4">
        <v>643342.7300000001</v>
      </c>
    </row>
    <row r="5" spans="1:2" x14ac:dyDescent="0.3">
      <c r="A5" s="5" t="s">
        <v>349</v>
      </c>
      <c r="B5">
        <v>465816.7</v>
      </c>
    </row>
    <row r="6" spans="1:2" x14ac:dyDescent="0.3">
      <c r="A6" s="5" t="s">
        <v>333</v>
      </c>
      <c r="B6">
        <v>430978.27</v>
      </c>
    </row>
    <row r="7" spans="1:2" x14ac:dyDescent="0.3">
      <c r="A7" s="5" t="s">
        <v>346</v>
      </c>
      <c r="B7">
        <v>403833.82000000007</v>
      </c>
    </row>
    <row r="8" spans="1:2" x14ac:dyDescent="0.3">
      <c r="A8" s="5" t="s">
        <v>335</v>
      </c>
      <c r="B8">
        <v>393719.05000000005</v>
      </c>
    </row>
    <row r="9" spans="1:2" x14ac:dyDescent="0.3">
      <c r="A9" s="5" t="s">
        <v>350</v>
      </c>
      <c r="B9">
        <v>376768.22000000003</v>
      </c>
    </row>
    <row r="10" spans="1:2" x14ac:dyDescent="0.3">
      <c r="A10" s="5" t="s">
        <v>340</v>
      </c>
      <c r="B10">
        <v>364282.98</v>
      </c>
    </row>
    <row r="11" spans="1:2" x14ac:dyDescent="0.3">
      <c r="A11" s="5" t="s">
        <v>348</v>
      </c>
      <c r="B11">
        <v>363101.91000000003</v>
      </c>
    </row>
    <row r="12" spans="1:2" x14ac:dyDescent="0.3">
      <c r="A12" s="5" t="s">
        <v>347</v>
      </c>
      <c r="B12">
        <v>355873.14999999997</v>
      </c>
    </row>
    <row r="13" spans="1:2" x14ac:dyDescent="0.3">
      <c r="A13" s="5" t="s">
        <v>345</v>
      </c>
      <c r="B13">
        <v>330375.8</v>
      </c>
    </row>
    <row r="14" spans="1:2" x14ac:dyDescent="0.3">
      <c r="A14" s="5" t="s">
        <v>351</v>
      </c>
      <c r="B14">
        <v>303037.69</v>
      </c>
    </row>
    <row r="15" spans="1:2" x14ac:dyDescent="0.3">
      <c r="A15" s="5" t="s">
        <v>343</v>
      </c>
      <c r="B15">
        <v>220342.77999999997</v>
      </c>
    </row>
    <row r="16" spans="1:2" x14ac:dyDescent="0.3">
      <c r="A16" s="5" t="s">
        <v>334</v>
      </c>
      <c r="B16">
        <v>201888.19</v>
      </c>
    </row>
    <row r="17" spans="1:2" x14ac:dyDescent="0.3">
      <c r="A17" s="5" t="s">
        <v>352</v>
      </c>
      <c r="B17">
        <v>180585.40000000002</v>
      </c>
    </row>
    <row r="18" spans="1:2" x14ac:dyDescent="0.3">
      <c r="A18" s="5" t="s">
        <v>341</v>
      </c>
      <c r="B18">
        <v>133061.55000000002</v>
      </c>
    </row>
    <row r="19" spans="1:2" x14ac:dyDescent="0.3">
      <c r="A19" s="5" t="s">
        <v>337</v>
      </c>
      <c r="B19">
        <v>124981.71999999999</v>
      </c>
    </row>
    <row r="20" spans="1:2" x14ac:dyDescent="0.3">
      <c r="A20" s="5" t="s">
        <v>338</v>
      </c>
      <c r="B20">
        <v>101761.30000000002</v>
      </c>
    </row>
    <row r="21" spans="1:2" x14ac:dyDescent="0.3">
      <c r="A21" s="5" t="s">
        <v>344</v>
      </c>
      <c r="B21">
        <v>90497.969999999987</v>
      </c>
    </row>
    <row r="22" spans="1:2" x14ac:dyDescent="0.3">
      <c r="A22" s="5" t="s">
        <v>342</v>
      </c>
      <c r="B22">
        <v>77792.419999999984</v>
      </c>
    </row>
    <row r="23" spans="1:2" x14ac:dyDescent="0.3">
      <c r="A23" s="5" t="s">
        <v>332</v>
      </c>
      <c r="B23">
        <v>69671.360000000001</v>
      </c>
    </row>
    <row r="24" spans="1:2" x14ac:dyDescent="0.3">
      <c r="A24" s="5" t="s">
        <v>339</v>
      </c>
      <c r="B24">
        <v>5924.04</v>
      </c>
    </row>
    <row r="25" spans="1:2" x14ac:dyDescent="0.3">
      <c r="A25" s="5" t="s">
        <v>397</v>
      </c>
      <c r="B25">
        <v>5637637.0500000007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7F38-9E82-4EC7-8904-E202540790DB}">
  <dimension ref="A1"/>
  <sheetViews>
    <sheetView workbookViewId="0">
      <selection activeCell="O18" sqref="O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Clean_Data (2)</vt:lpstr>
      <vt:lpstr>Clean_Data</vt:lpstr>
      <vt:lpstr>Category_Analysis</vt:lpstr>
      <vt:lpstr>Revenue_by_city</vt:lpstr>
      <vt:lpstr>Best_Selling_Products</vt:lpstr>
      <vt:lpstr>Monthly_Revenue</vt:lpstr>
      <vt:lpstr>Payment_Method_Analysis</vt:lpstr>
      <vt:lpstr>Top_Customers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sanjana palde</cp:lastModifiedBy>
  <dcterms:created xsi:type="dcterms:W3CDTF">2026-09-02T10:14:04Z</dcterms:created>
  <dcterms:modified xsi:type="dcterms:W3CDTF">2026-09-03T09:25:20Z</dcterms:modified>
</cp:coreProperties>
</file>